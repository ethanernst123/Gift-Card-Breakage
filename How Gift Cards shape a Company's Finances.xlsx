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570a30b108c083/Career Skills/LinkedIn Projects/Impact of Gift Cards on Financials/"/>
    </mc:Choice>
  </mc:AlternateContent>
  <xr:revisionPtr revIDLastSave="1672" documentId="8_{7DF7E3CA-157B-4D78-8D8C-4B4072DBC72F}" xr6:coauthVersionLast="47" xr6:coauthVersionMax="47" xr10:uidLastSave="{2E2241E7-9B54-4C27-BAAF-9D170D43E4E5}"/>
  <bookViews>
    <workbookView xWindow="-108" yWindow="-108" windowWidth="23256" windowHeight="13896" activeTab="1" xr2:uid="{6BBCA42B-E4CD-4DC2-92F9-60E232B35426}"/>
  </bookViews>
  <sheets>
    <sheet name="Model Inputs" sheetId="2" r:id="rId1"/>
    <sheet name="Revenue Recognition" sheetId="1" r:id="rId2"/>
    <sheet name="Business Mode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5" i="1" l="1"/>
  <c r="I37" i="4"/>
  <c r="I32" i="4"/>
  <c r="I33" i="4"/>
  <c r="I34" i="4"/>
  <c r="I35" i="4"/>
  <c r="I36" i="4"/>
  <c r="I31" i="4"/>
  <c r="C12" i="4"/>
  <c r="C21" i="4" s="1"/>
  <c r="A15" i="4"/>
  <c r="C14" i="4" s="1"/>
  <c r="H31" i="4" s="1"/>
  <c r="G6" i="4"/>
  <c r="G5" i="4" s="1"/>
  <c r="G4" i="4" s="1"/>
  <c r="G8" i="4"/>
  <c r="G9" i="4"/>
  <c r="G10" i="4" s="1"/>
  <c r="C13" i="4"/>
  <c r="C22" i="4" s="1"/>
  <c r="H19" i="2"/>
  <c r="H20" i="2"/>
  <c r="H21" i="2"/>
  <c r="H18" i="2"/>
  <c r="E20" i="1"/>
  <c r="E21" i="1"/>
  <c r="E22" i="1"/>
  <c r="E23" i="1"/>
  <c r="E24" i="1"/>
  <c r="E19" i="1"/>
  <c r="E5" i="1"/>
  <c r="E6" i="1"/>
  <c r="E7" i="1"/>
  <c r="E8" i="1"/>
  <c r="E9" i="1"/>
  <c r="E4" i="1"/>
  <c r="C2" i="2"/>
  <c r="A3" i="1" s="1"/>
  <c r="H4" i="1" s="1"/>
  <c r="G11" i="2"/>
  <c r="H11" i="2" s="1"/>
  <c r="I11" i="2" s="1"/>
  <c r="J11" i="2" s="1"/>
  <c r="K11" i="2" s="1"/>
  <c r="G4" i="2"/>
  <c r="H4" i="2" s="1"/>
  <c r="I4" i="2" s="1"/>
  <c r="J4" i="2" s="1"/>
  <c r="K4" i="2" s="1"/>
  <c r="G6" i="1"/>
  <c r="G5" i="1"/>
  <c r="G20" i="1"/>
  <c r="G21" i="1"/>
  <c r="G7" i="1"/>
  <c r="G22" i="1"/>
  <c r="G8" i="1"/>
  <c r="G23" i="1"/>
  <c r="G9" i="1"/>
  <c r="G24" i="1"/>
  <c r="G19" i="1"/>
  <c r="G4" i="1"/>
  <c r="J10" i="4" l="1"/>
  <c r="J8" i="4"/>
  <c r="J4" i="4"/>
  <c r="J6" i="4"/>
  <c r="J7" i="4"/>
  <c r="L7" i="4"/>
  <c r="L4" i="4"/>
  <c r="J5" i="4"/>
  <c r="J9" i="4"/>
  <c r="C23" i="4"/>
  <c r="C24" i="4" s="1"/>
  <c r="K37" i="4"/>
  <c r="K36" i="4"/>
  <c r="K35" i="4"/>
  <c r="K34" i="4"/>
  <c r="K33" i="4"/>
  <c r="K32" i="4"/>
  <c r="H6" i="4"/>
  <c r="H37" i="4"/>
  <c r="H36" i="4"/>
  <c r="H35" i="4"/>
  <c r="H33" i="4"/>
  <c r="K31" i="4"/>
  <c r="H32" i="4"/>
  <c r="H34" i="4"/>
  <c r="L5" i="4"/>
  <c r="L10" i="4"/>
  <c r="L9" i="4"/>
  <c r="L8" i="4"/>
  <c r="L6" i="4"/>
  <c r="H8" i="4"/>
  <c r="H7" i="4"/>
  <c r="H9" i="4"/>
  <c r="H5" i="4"/>
  <c r="I5" i="4"/>
  <c r="I9" i="4"/>
  <c r="I8" i="4"/>
  <c r="I7" i="4"/>
  <c r="I6" i="4"/>
  <c r="I10" i="4"/>
  <c r="G10" i="1"/>
  <c r="G25" i="1"/>
  <c r="C12" i="1"/>
  <c r="H5" i="1"/>
  <c r="I5" i="1" s="1"/>
  <c r="H24" i="1"/>
  <c r="I24" i="1" s="1"/>
  <c r="H21" i="1"/>
  <c r="I21" i="1" s="1"/>
  <c r="I4" i="1"/>
  <c r="H19" i="1"/>
  <c r="I19" i="1" s="1"/>
  <c r="H9" i="1"/>
  <c r="I9" i="1" s="1"/>
  <c r="H23" i="1"/>
  <c r="I23" i="1" s="1"/>
  <c r="H8" i="1"/>
  <c r="I8" i="1" s="1"/>
  <c r="H22" i="1"/>
  <c r="I22" i="1" s="1"/>
  <c r="H7" i="1"/>
  <c r="I7" i="1" s="1"/>
  <c r="H6" i="1"/>
  <c r="I6" i="1" s="1"/>
  <c r="H20" i="1"/>
  <c r="I20" i="1" s="1"/>
  <c r="K8" i="4" l="1"/>
  <c r="J37" i="4"/>
  <c r="K7" i="4"/>
  <c r="J31" i="4"/>
  <c r="J36" i="4"/>
  <c r="J33" i="4"/>
  <c r="J35" i="4"/>
  <c r="J34" i="4"/>
  <c r="J32" i="4"/>
  <c r="K5" i="4"/>
  <c r="H4" i="4"/>
  <c r="K9" i="4"/>
  <c r="I4" i="4"/>
  <c r="K6" i="4"/>
  <c r="H10" i="4"/>
  <c r="I25" i="1"/>
  <c r="I10" i="1"/>
  <c r="J10" i="1" s="1"/>
  <c r="K4" i="4" l="1"/>
  <c r="K10" i="4"/>
</calcChain>
</file>

<file path=xl/sharedStrings.xml><?xml version="1.0" encoding="utf-8"?>
<sst xmlns="http://schemas.openxmlformats.org/spreadsheetml/2006/main" count="107" uniqueCount="77">
  <si>
    <t>Source</t>
  </si>
  <si>
    <t>10-K FY 2020</t>
  </si>
  <si>
    <t>10-K FY 2021</t>
  </si>
  <si>
    <t>10-K FY 2022</t>
  </si>
  <si>
    <t>10-K FY 2023</t>
  </si>
  <si>
    <t>10-K FY 2024</t>
  </si>
  <si>
    <t>10-K FY 2025</t>
  </si>
  <si>
    <t>Average Prime Borrow Rate</t>
  </si>
  <si>
    <t xml:space="preserve"> Liability ($M)*</t>
  </si>
  <si>
    <t>*Starbucks Gift Card Liability is discoolsed under the line titled "Stored Value Card Liability" on page 72</t>
  </si>
  <si>
    <t>*Chipotle's Gift Card Liability is discoolsed under the line titled "Gift Card Liability" on page 48 under Revenue Recognition</t>
  </si>
  <si>
    <t>Best Case</t>
  </si>
  <si>
    <t>Base Case</t>
  </si>
  <si>
    <t>Worst Case</t>
  </si>
  <si>
    <t>Breakage (SBUX)</t>
  </si>
  <si>
    <t>Breakage (CMG)</t>
  </si>
  <si>
    <t xml:space="preserve">% Industry Avg (SBUX) </t>
  </si>
  <si>
    <t>% Industry Avg (CMG)</t>
  </si>
  <si>
    <t>Totals:</t>
  </si>
  <si>
    <t>**Taken the industry average from the Federal Reserves (FRED) own database</t>
  </si>
  <si>
    <t>***Not enough info or disclosing to accurately calculate the reported breakage, took industry average based on % of total liability</t>
  </si>
  <si>
    <t>Est. Breakage Revenue</t>
  </si>
  <si>
    <t>YoY Growth (%)</t>
  </si>
  <si>
    <t>Est. Reported Breakage ($M)</t>
  </si>
  <si>
    <t>Interest Avoided ($M)</t>
  </si>
  <si>
    <t>Average Prime Borrow Rate**</t>
  </si>
  <si>
    <t>CNG (Chipotle)</t>
  </si>
  <si>
    <t>SBUX (Starbucks)</t>
  </si>
  <si>
    <t xml:space="preserve">Select Scenario: </t>
  </si>
  <si>
    <t>Notes:</t>
  </si>
  <si>
    <t>Business Name</t>
  </si>
  <si>
    <t>Annual Gift Card Sales ($)</t>
  </si>
  <si>
    <t>Breakage Rate (%)</t>
  </si>
  <si>
    <t>Float Period (months)</t>
  </si>
  <si>
    <t>Business Type</t>
  </si>
  <si>
    <t>Spread</t>
  </si>
  <si>
    <t>Small-Business</t>
  </si>
  <si>
    <t>Large Corporation</t>
  </si>
  <si>
    <t>Medium-Size Business</t>
  </si>
  <si>
    <t>Startup</t>
  </si>
  <si>
    <t xml:space="preserve"> Borrowing Rate</t>
  </si>
  <si>
    <t>Total Rate</t>
  </si>
  <si>
    <t>#</t>
  </si>
  <si>
    <t>Ernst LLC</t>
  </si>
  <si>
    <t>Scenario</t>
  </si>
  <si>
    <t>Inputs</t>
  </si>
  <si>
    <t>Outputs</t>
  </si>
  <si>
    <t>Gift Card Float Value</t>
  </si>
  <si>
    <t>Total Annual Benefit</t>
  </si>
  <si>
    <t>Equivalent Annual Loan Interest</t>
  </si>
  <si>
    <t>Default Float Period</t>
  </si>
  <si>
    <t>Annual Gift Card Redemptions ($)</t>
  </si>
  <si>
    <t>Loan Cost Avoided:</t>
  </si>
  <si>
    <t>Total Annual Benefit:</t>
  </si>
  <si>
    <t>Float Value:</t>
  </si>
  <si>
    <t>Breakage Revenue:</t>
  </si>
  <si>
    <t>Annual Gift Card Sales:</t>
  </si>
  <si>
    <t>Est. Redeemed:</t>
  </si>
  <si>
    <t>Very Small Operator (Startup)</t>
  </si>
  <si>
    <t>Café/Corner Store (SB)</t>
  </si>
  <si>
    <t>Independent Restaurant (SB)</t>
  </si>
  <si>
    <t>Small Regional Chain (SB)</t>
  </si>
  <si>
    <t>Mid-Size Retailer (MB)</t>
  </si>
  <si>
    <t>Small Franchise Group (LB)</t>
  </si>
  <si>
    <t>Larger Operator (LB)</t>
  </si>
  <si>
    <t>GC Sales Volume</t>
  </si>
  <si>
    <t>Promotion Cost</t>
  </si>
  <si>
    <t>Net True Benefit</t>
  </si>
  <si>
    <t>Loan Cost Avoided</t>
  </si>
  <si>
    <t>Breakage Revenue</t>
  </si>
  <si>
    <t>Year</t>
  </si>
  <si>
    <t xml:space="preserve">Year </t>
  </si>
  <si>
    <t>Gift Cards Promo %</t>
  </si>
  <si>
    <t>Total Rate (Fixed)</t>
  </si>
  <si>
    <t>Sensitivity Analysis: Annual Benfits by GC Sales Volume (Fixed)</t>
  </si>
  <si>
    <t>Bank Loan Rate (Variable)</t>
  </si>
  <si>
    <t>True Total 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</si>
</sst>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.0"/>
    <numFmt numFmtId="166" formatCode="&quot;$&quot;#,##0"/>
    <numFmt numFmtId="167" formatCode="&quot;$&quot;#,##0,&quot;K&quot;"/>
    <numFmt numFmtId="168" formatCode="&quot;$&quot;#,&quot;M&quot;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ck">
        <color auto="1"/>
      </right>
      <top/>
      <bottom/>
      <diagonal/>
    </border>
    <border>
      <left/>
      <right style="thick">
        <color theme="7"/>
      </right>
      <top/>
      <bottom/>
      <diagonal/>
    </border>
    <border>
      <left/>
      <right/>
      <top/>
      <bottom style="double">
        <color theme="7"/>
      </bottom>
      <diagonal/>
    </border>
    <border>
      <left style="thick">
        <color theme="7"/>
      </left>
      <right/>
      <top/>
      <bottom style="double">
        <color theme="7"/>
      </bottom>
      <diagonal/>
    </border>
    <border>
      <left/>
      <right/>
      <top style="thick">
        <color theme="7"/>
      </top>
      <bottom/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ck">
        <color auto="1"/>
      </left>
      <right/>
      <top/>
      <bottom/>
      <diagonal/>
    </border>
    <border>
      <left style="thick">
        <color theme="7"/>
      </left>
      <right/>
      <top/>
      <bottom/>
      <diagonal/>
    </border>
    <border>
      <left style="thick">
        <color theme="7"/>
      </left>
      <right style="thick">
        <color theme="7"/>
      </right>
      <top style="double">
        <color theme="7"/>
      </top>
      <bottom style="thick">
        <color theme="7"/>
      </bottom>
      <diagonal/>
    </border>
    <border>
      <left/>
      <right/>
      <top style="double">
        <color theme="7"/>
      </top>
      <bottom style="thick">
        <color theme="4" tint="0.499984740745262"/>
      </bottom>
      <diagonal/>
    </border>
    <border>
      <left/>
      <right style="thick">
        <color theme="4" tint="0.499984740745262"/>
      </right>
      <top style="thick">
        <color theme="4" tint="0.499984740745262"/>
      </top>
      <bottom/>
      <diagonal/>
    </border>
    <border>
      <left/>
      <right style="thick">
        <color theme="4" tint="0.499984740745262"/>
      </right>
      <top/>
      <bottom/>
      <diagonal/>
    </border>
    <border>
      <left/>
      <right style="thick">
        <color theme="4" tint="0.499984740745262"/>
      </right>
      <top/>
      <bottom style="double">
        <color theme="7"/>
      </bottom>
      <diagonal/>
    </border>
    <border>
      <left style="thick">
        <color theme="4" tint="0.499984740745262"/>
      </left>
      <right/>
      <top style="thick">
        <color theme="4" tint="0.499984740745262"/>
      </top>
      <bottom/>
      <diagonal/>
    </border>
    <border>
      <left style="thick">
        <color theme="4" tint="0.499984740745262"/>
      </left>
      <right/>
      <top/>
      <bottom/>
      <diagonal/>
    </border>
    <border>
      <left style="thick">
        <color theme="4" tint="0.499984740745262"/>
      </left>
      <right style="thick">
        <color theme="4" tint="0.499984740745262"/>
      </right>
      <top style="thick">
        <color theme="4" tint="0.499984740745262"/>
      </top>
      <bottom/>
      <diagonal/>
    </border>
    <border>
      <left style="thick">
        <color theme="4" tint="0.499984740745262"/>
      </left>
      <right style="thick">
        <color theme="4" tint="0.499984740745262"/>
      </right>
      <top/>
      <bottom/>
      <diagonal/>
    </border>
    <border>
      <left style="thick">
        <color theme="4" tint="0.499984740745262"/>
      </left>
      <right style="thick">
        <color theme="4" tint="0.499984740745262"/>
      </right>
      <top/>
      <bottom style="double">
        <color theme="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 style="thick">
        <color theme="4" tint="0.499984740745262"/>
      </left>
      <right style="thick">
        <color theme="4" tint="0.499984740745262"/>
      </right>
      <top/>
      <bottom style="thick">
        <color theme="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medium">
        <color indexed="64"/>
      </right>
      <top/>
      <bottom style="thick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double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theme="7"/>
      </right>
      <top/>
      <bottom style="double">
        <color theme="7"/>
      </bottom>
      <diagonal/>
    </border>
    <border>
      <left style="thick">
        <color theme="4" tint="0.499984740745262"/>
      </left>
      <right style="thick">
        <color theme="7"/>
      </right>
      <top/>
      <bottom style="double">
        <color theme="7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71">
    <xf numFmtId="0" fontId="0" fillId="0" borderId="0" xfId="0"/>
    <xf numFmtId="164" fontId="0" fillId="0" borderId="0" xfId="0" applyNumberFormat="1"/>
    <xf numFmtId="165" fontId="0" fillId="0" borderId="0" xfId="0" applyNumberFormat="1"/>
    <xf numFmtId="44" fontId="0" fillId="0" borderId="0" xfId="0" applyNumberFormat="1"/>
    <xf numFmtId="9" fontId="0" fillId="0" borderId="0" xfId="0" applyNumberFormat="1"/>
    <xf numFmtId="0" fontId="0" fillId="0" borderId="3" xfId="0" applyBorder="1"/>
    <xf numFmtId="0" fontId="0" fillId="0" borderId="0" xfId="0" applyAlignment="1">
      <alignment horizontal="center"/>
    </xf>
    <xf numFmtId="10" fontId="3" fillId="0" borderId="0" xfId="0" applyNumberFormat="1" applyFont="1"/>
    <xf numFmtId="0" fontId="3" fillId="0" borderId="3" xfId="0" applyFont="1" applyBorder="1" applyAlignment="1">
      <alignment horizontal="center"/>
    </xf>
    <xf numFmtId="44" fontId="0" fillId="0" borderId="6" xfId="0" applyNumberFormat="1" applyBorder="1"/>
    <xf numFmtId="0" fontId="0" fillId="0" borderId="6" xfId="0" applyBorder="1"/>
    <xf numFmtId="10" fontId="3" fillId="0" borderId="6" xfId="0" applyNumberFormat="1" applyFont="1" applyBorder="1"/>
    <xf numFmtId="0" fontId="0" fillId="0" borderId="8" xfId="0" applyBorder="1"/>
    <xf numFmtId="0" fontId="0" fillId="0" borderId="9" xfId="0" applyBorder="1"/>
    <xf numFmtId="0" fontId="5" fillId="0" borderId="7" xfId="0" applyFont="1" applyBorder="1" applyAlignment="1">
      <alignment horizontal="center"/>
    </xf>
    <xf numFmtId="44" fontId="8" fillId="0" borderId="0" xfId="0" applyNumberFormat="1" applyFont="1" applyAlignment="1">
      <alignment horizontal="center"/>
    </xf>
    <xf numFmtId="166" fontId="0" fillId="0" borderId="0" xfId="0" applyNumberFormat="1" applyAlignment="1">
      <alignment horizontal="right"/>
    </xf>
    <xf numFmtId="166" fontId="0" fillId="0" borderId="5" xfId="0" applyNumberFormat="1" applyBorder="1" applyAlignment="1">
      <alignment horizontal="right"/>
    </xf>
    <xf numFmtId="0" fontId="0" fillId="0" borderId="0" xfId="0" applyAlignment="1">
      <alignment horizontal="right"/>
    </xf>
    <xf numFmtId="164" fontId="0" fillId="0" borderId="15" xfId="0" applyNumberFormat="1" applyBorder="1"/>
    <xf numFmtId="164" fontId="0" fillId="0" borderId="16" xfId="0" applyNumberFormat="1" applyBorder="1"/>
    <xf numFmtId="10" fontId="3" fillId="0" borderId="17" xfId="0" applyNumberFormat="1" applyFont="1" applyBorder="1"/>
    <xf numFmtId="10" fontId="3" fillId="0" borderId="18" xfId="0" applyNumberFormat="1" applyFont="1" applyBorder="1"/>
    <xf numFmtId="10" fontId="3" fillId="0" borderId="19" xfId="0" applyNumberFormat="1" applyFont="1" applyBorder="1"/>
    <xf numFmtId="0" fontId="3" fillId="4" borderId="7" xfId="0" applyFont="1" applyFill="1" applyBorder="1" applyAlignment="1">
      <alignment horizontal="center"/>
    </xf>
    <xf numFmtId="44" fontId="0" fillId="5" borderId="0" xfId="0" applyNumberFormat="1" applyFill="1"/>
    <xf numFmtId="0" fontId="0" fillId="5" borderId="0" xfId="0" applyFill="1"/>
    <xf numFmtId="164" fontId="3" fillId="3" borderId="10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13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14" xfId="0" applyNumberFormat="1" applyBorder="1" applyAlignment="1">
      <alignment horizontal="right"/>
    </xf>
    <xf numFmtId="44" fontId="2" fillId="0" borderId="11" xfId="2" applyNumberFormat="1" applyBorder="1" applyAlignment="1"/>
    <xf numFmtId="44" fontId="2" fillId="0" borderId="11" xfId="2" applyNumberFormat="1" applyBorder="1" applyAlignment="1">
      <alignment horizontal="left"/>
    </xf>
    <xf numFmtId="44" fontId="2" fillId="2" borderId="20" xfId="2" applyNumberFormat="1" applyFill="1" applyBorder="1" applyAlignment="1">
      <alignment horizontal="left"/>
    </xf>
    <xf numFmtId="0" fontId="2" fillId="0" borderId="0" xfId="2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0" applyNumberFormat="1" applyAlignment="1">
      <alignment horizontal="center"/>
    </xf>
    <xf numFmtId="0" fontId="0" fillId="0" borderId="21" xfId="0" applyBorder="1"/>
    <xf numFmtId="9" fontId="0" fillId="0" borderId="21" xfId="0" applyNumberFormat="1" applyBorder="1"/>
    <xf numFmtId="0" fontId="0" fillId="0" borderId="21" xfId="0" applyBorder="1" applyAlignment="1">
      <alignment horizontal="left"/>
    </xf>
    <xf numFmtId="0" fontId="0" fillId="5" borderId="7" xfId="0" applyFill="1" applyBorder="1"/>
    <xf numFmtId="44" fontId="0" fillId="5" borderId="26" xfId="0" applyNumberFormat="1" applyFill="1" applyBorder="1"/>
    <xf numFmtId="0" fontId="0" fillId="5" borderId="27" xfId="0" applyFill="1" applyBorder="1"/>
    <xf numFmtId="0" fontId="0" fillId="5" borderId="28" xfId="0" applyFill="1" applyBorder="1"/>
    <xf numFmtId="0" fontId="3" fillId="0" borderId="21" xfId="0" applyFont="1" applyBorder="1" applyAlignment="1">
      <alignment horizontal="right"/>
    </xf>
    <xf numFmtId="0" fontId="3" fillId="0" borderId="21" xfId="0" applyFont="1" applyBorder="1"/>
    <xf numFmtId="0" fontId="0" fillId="0" borderId="21" xfId="0" applyBorder="1" applyAlignment="1">
      <alignment horizontal="right"/>
    </xf>
    <xf numFmtId="0" fontId="6" fillId="0" borderId="21" xfId="0" applyFont="1" applyBorder="1" applyAlignment="1">
      <alignment horizontal="right"/>
    </xf>
    <xf numFmtId="0" fontId="6" fillId="0" borderId="21" xfId="0" applyFont="1" applyBorder="1"/>
    <xf numFmtId="10" fontId="0" fillId="0" borderId="21" xfId="0" applyNumberFormat="1" applyBorder="1"/>
    <xf numFmtId="10" fontId="3" fillId="0" borderId="21" xfId="0" applyNumberFormat="1" applyFont="1" applyBorder="1"/>
    <xf numFmtId="9" fontId="0" fillId="0" borderId="17" xfId="0" applyNumberFormat="1" applyBorder="1"/>
    <xf numFmtId="9" fontId="0" fillId="0" borderId="18" xfId="0" applyNumberFormat="1" applyBorder="1"/>
    <xf numFmtId="9" fontId="0" fillId="0" borderId="37" xfId="0" applyNumberFormat="1" applyBorder="1"/>
    <xf numFmtId="10" fontId="0" fillId="0" borderId="17" xfId="0" applyNumberFormat="1" applyBorder="1" applyAlignment="1">
      <alignment horizontal="center"/>
    </xf>
    <xf numFmtId="10" fontId="0" fillId="0" borderId="18" xfId="0" applyNumberFormat="1" applyBorder="1" applyAlignment="1">
      <alignment horizontal="right"/>
    </xf>
    <xf numFmtId="44" fontId="7" fillId="0" borderId="29" xfId="0" applyNumberFormat="1" applyFont="1" applyBorder="1" applyAlignment="1">
      <alignment horizontal="left"/>
    </xf>
    <xf numFmtId="44" fontId="7" fillId="0" borderId="30" xfId="0" applyNumberFormat="1" applyFont="1" applyBorder="1" applyAlignment="1">
      <alignment horizontal="left"/>
    </xf>
    <xf numFmtId="44" fontId="7" fillId="0" borderId="31" xfId="0" applyNumberFormat="1" applyFont="1" applyBorder="1" applyAlignment="1">
      <alignment horizontal="left"/>
    </xf>
    <xf numFmtId="44" fontId="7" fillId="0" borderId="32" xfId="0" applyNumberFormat="1" applyFont="1" applyBorder="1" applyAlignment="1">
      <alignment horizontal="left"/>
    </xf>
    <xf numFmtId="44" fontId="7" fillId="0" borderId="0" xfId="0" applyNumberFormat="1" applyFont="1" applyAlignment="1">
      <alignment horizontal="left"/>
    </xf>
    <xf numFmtId="44" fontId="7" fillId="0" borderId="33" xfId="0" applyNumberFormat="1" applyFont="1" applyBorder="1" applyAlignment="1">
      <alignment horizontal="left"/>
    </xf>
    <xf numFmtId="44" fontId="7" fillId="0" borderId="34" xfId="0" applyNumberFormat="1" applyFont="1" applyBorder="1" applyAlignment="1">
      <alignment horizontal="left"/>
    </xf>
    <xf numFmtId="44" fontId="7" fillId="0" borderId="35" xfId="0" applyNumberFormat="1" applyFont="1" applyBorder="1" applyAlignment="1">
      <alignment horizontal="left"/>
    </xf>
    <xf numFmtId="44" fontId="7" fillId="0" borderId="36" xfId="0" applyNumberFormat="1" applyFont="1" applyBorder="1" applyAlignment="1">
      <alignment horizontal="left"/>
    </xf>
    <xf numFmtId="10" fontId="3" fillId="0" borderId="21" xfId="0" applyNumberFormat="1" applyFont="1" applyBorder="1" applyAlignment="1">
      <alignment horizontal="right"/>
    </xf>
    <xf numFmtId="164" fontId="3" fillId="0" borderId="38" xfId="0" applyNumberFormat="1" applyFont="1" applyBorder="1"/>
    <xf numFmtId="164" fontId="3" fillId="0" borderId="21" xfId="0" applyNumberFormat="1" applyFont="1" applyBorder="1"/>
    <xf numFmtId="164" fontId="3" fillId="2" borderId="38" xfId="0" applyNumberFormat="1" applyFont="1" applyFill="1" applyBorder="1"/>
    <xf numFmtId="164" fontId="3" fillId="2" borderId="21" xfId="0" applyNumberFormat="1" applyFont="1" applyFill="1" applyBorder="1"/>
    <xf numFmtId="164" fontId="3" fillId="0" borderId="39" xfId="0" applyNumberFormat="1" applyFont="1" applyBorder="1"/>
    <xf numFmtId="164" fontId="3" fillId="0" borderId="40" xfId="0" applyNumberFormat="1" applyFont="1" applyBorder="1"/>
    <xf numFmtId="0" fontId="3" fillId="0" borderId="41" xfId="0" applyFont="1" applyBorder="1" applyAlignment="1">
      <alignment horizontal="left"/>
    </xf>
    <xf numFmtId="0" fontId="10" fillId="0" borderId="0" xfId="0" applyFont="1"/>
    <xf numFmtId="0" fontId="3" fillId="0" borderId="23" xfId="0" applyFont="1" applyBorder="1"/>
    <xf numFmtId="0" fontId="0" fillId="0" borderId="45" xfId="0" applyBorder="1"/>
    <xf numFmtId="0" fontId="0" fillId="0" borderId="46" xfId="0" applyBorder="1"/>
    <xf numFmtId="164" fontId="3" fillId="0" borderId="48" xfId="0" applyNumberFormat="1" applyFont="1" applyBorder="1"/>
    <xf numFmtId="164" fontId="3" fillId="0" borderId="22" xfId="0" applyNumberFormat="1" applyFont="1" applyBorder="1"/>
    <xf numFmtId="164" fontId="3" fillId="0" borderId="51" xfId="0" applyNumberFormat="1" applyFont="1" applyBorder="1"/>
    <xf numFmtId="164" fontId="3" fillId="0" borderId="52" xfId="0" applyNumberFormat="1" applyFont="1" applyBorder="1"/>
    <xf numFmtId="164" fontId="3" fillId="0" borderId="53" xfId="0" applyNumberFormat="1" applyFont="1" applyBorder="1"/>
    <xf numFmtId="0" fontId="10" fillId="6" borderId="0" xfId="0" applyFont="1" applyFill="1"/>
    <xf numFmtId="10" fontId="10" fillId="6" borderId="0" xfId="0" applyNumberFormat="1" applyFont="1" applyFill="1"/>
    <xf numFmtId="0" fontId="10" fillId="6" borderId="56" xfId="0" applyFont="1" applyFill="1" applyBorder="1"/>
    <xf numFmtId="0" fontId="10" fillId="6" borderId="57" xfId="0" applyFont="1" applyFill="1" applyBorder="1"/>
    <xf numFmtId="0" fontId="0" fillId="6" borderId="8" xfId="0" applyFill="1" applyBorder="1"/>
    <xf numFmtId="0" fontId="0" fillId="6" borderId="0" xfId="0" applyFill="1"/>
    <xf numFmtId="0" fontId="0" fillId="3" borderId="2" xfId="0" applyFill="1" applyBorder="1"/>
    <xf numFmtId="0" fontId="0" fillId="3" borderId="44" xfId="0" applyFill="1" applyBorder="1"/>
    <xf numFmtId="0" fontId="0" fillId="3" borderId="8" xfId="0" applyFill="1" applyBorder="1"/>
    <xf numFmtId="0" fontId="0" fillId="6" borderId="45" xfId="0" applyFill="1" applyBorder="1"/>
    <xf numFmtId="0" fontId="0" fillId="6" borderId="46" xfId="0" applyFill="1" applyBorder="1"/>
    <xf numFmtId="0" fontId="0" fillId="6" borderId="47" xfId="0" applyFill="1" applyBorder="1"/>
    <xf numFmtId="164" fontId="11" fillId="0" borderId="40" xfId="0" applyNumberFormat="1" applyFont="1" applyBorder="1"/>
    <xf numFmtId="164" fontId="11" fillId="0" borderId="21" xfId="0" applyNumberFormat="1" applyFont="1" applyBorder="1"/>
    <xf numFmtId="164" fontId="11" fillId="2" borderId="21" xfId="0" applyNumberFormat="1" applyFont="1" applyFill="1" applyBorder="1"/>
    <xf numFmtId="164" fontId="11" fillId="0" borderId="49" xfId="0" applyNumberFormat="1" applyFont="1" applyBorder="1"/>
    <xf numFmtId="164" fontId="11" fillId="0" borderId="22" xfId="0" applyNumberFormat="1" applyFont="1" applyBorder="1"/>
    <xf numFmtId="164" fontId="11" fillId="2" borderId="40" xfId="0" applyNumberFormat="1" applyFont="1" applyFill="1" applyBorder="1"/>
    <xf numFmtId="164" fontId="3" fillId="2" borderId="52" xfId="0" applyNumberFormat="1" applyFont="1" applyFill="1" applyBorder="1"/>
    <xf numFmtId="0" fontId="3" fillId="6" borderId="60" xfId="0" applyFont="1" applyFill="1" applyBorder="1" applyAlignment="1">
      <alignment horizontal="center" vertical="center"/>
    </xf>
    <xf numFmtId="0" fontId="3" fillId="6" borderId="44" xfId="0" applyFont="1" applyFill="1" applyBorder="1" applyAlignment="1">
      <alignment horizontal="center" vertical="center"/>
    </xf>
    <xf numFmtId="10" fontId="3" fillId="6" borderId="44" xfId="0" applyNumberFormat="1" applyFont="1" applyFill="1" applyBorder="1" applyAlignment="1">
      <alignment horizontal="center" vertical="center"/>
    </xf>
    <xf numFmtId="0" fontId="2" fillId="6" borderId="61" xfId="2" applyNumberFormat="1" applyFill="1" applyBorder="1" applyAlignment="1">
      <alignment horizontal="center" vertical="center"/>
    </xf>
    <xf numFmtId="10" fontId="3" fillId="6" borderId="61" xfId="0" applyNumberFormat="1" applyFont="1" applyFill="1" applyBorder="1" applyAlignment="1">
      <alignment horizontal="center" vertical="center"/>
    </xf>
    <xf numFmtId="0" fontId="0" fillId="4" borderId="43" xfId="0" applyFill="1" applyBorder="1"/>
    <xf numFmtId="0" fontId="0" fillId="6" borderId="62" xfId="0" applyFill="1" applyBorder="1"/>
    <xf numFmtId="10" fontId="3" fillId="6" borderId="8" xfId="0" applyNumberFormat="1" applyFont="1" applyFill="1" applyBorder="1" applyAlignment="1">
      <alignment horizontal="center" vertical="center"/>
    </xf>
    <xf numFmtId="0" fontId="10" fillId="6" borderId="46" xfId="0" applyFont="1" applyFill="1" applyBorder="1"/>
    <xf numFmtId="0" fontId="10" fillId="6" borderId="47" xfId="0" applyFont="1" applyFill="1" applyBorder="1"/>
    <xf numFmtId="0" fontId="10" fillId="3" borderId="0" xfId="0" applyFont="1" applyFill="1"/>
    <xf numFmtId="0" fontId="0" fillId="3" borderId="0" xfId="0" applyFill="1"/>
    <xf numFmtId="0" fontId="0" fillId="3" borderId="57" xfId="0" applyFill="1" applyBorder="1"/>
    <xf numFmtId="0" fontId="0" fillId="3" borderId="47" xfId="0" applyFill="1" applyBorder="1"/>
    <xf numFmtId="0" fontId="0" fillId="3" borderId="45" xfId="0" applyFill="1" applyBorder="1"/>
    <xf numFmtId="0" fontId="0" fillId="3" borderId="46" xfId="0" applyFill="1" applyBorder="1"/>
    <xf numFmtId="44" fontId="2" fillId="6" borderId="0" xfId="2" applyNumberFormat="1" applyFill="1" applyBorder="1" applyAlignment="1">
      <alignment horizontal="left"/>
    </xf>
    <xf numFmtId="8" fontId="3" fillId="8" borderId="0" xfId="0" applyNumberFormat="1" applyFont="1" applyFill="1" applyAlignment="1">
      <alignment horizontal="center" vertical="center" wrapText="1"/>
    </xf>
    <xf numFmtId="6" fontId="3" fillId="7" borderId="0" xfId="0" applyNumberFormat="1" applyFont="1" applyFill="1" applyAlignment="1">
      <alignment horizontal="center" vertical="center" wrapText="1"/>
    </xf>
    <xf numFmtId="6" fontId="3" fillId="8" borderId="0" xfId="0" applyNumberFormat="1" applyFont="1" applyFill="1" applyAlignment="1">
      <alignment horizontal="center" vertical="center" wrapText="1"/>
    </xf>
    <xf numFmtId="6" fontId="3" fillId="8" borderId="58" xfId="0" applyNumberFormat="1" applyFont="1" applyFill="1" applyBorder="1" applyAlignment="1">
      <alignment horizontal="center" vertical="center" wrapText="1"/>
    </xf>
    <xf numFmtId="8" fontId="3" fillId="8" borderId="59" xfId="0" applyNumberFormat="1" applyFont="1" applyFill="1" applyBorder="1" applyAlignment="1">
      <alignment horizontal="center" vertical="center" wrapText="1"/>
    </xf>
    <xf numFmtId="8" fontId="3" fillId="7" borderId="59" xfId="0" applyNumberFormat="1" applyFont="1" applyFill="1" applyBorder="1" applyAlignment="1">
      <alignment horizontal="center" vertical="center" wrapText="1"/>
    </xf>
    <xf numFmtId="6" fontId="3" fillId="8" borderId="59" xfId="0" applyNumberFormat="1" applyFont="1" applyFill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167" fontId="3" fillId="0" borderId="69" xfId="0" applyNumberFormat="1" applyFont="1" applyBorder="1" applyAlignment="1">
      <alignment horizontal="center" vertical="center" wrapText="1"/>
    </xf>
    <xf numFmtId="167" fontId="3" fillId="0" borderId="62" xfId="0" applyNumberFormat="1" applyFont="1" applyBorder="1" applyAlignment="1">
      <alignment horizontal="center" vertical="center" wrapText="1"/>
    </xf>
    <xf numFmtId="168" fontId="3" fillId="0" borderId="70" xfId="0" applyNumberFormat="1" applyFont="1" applyBorder="1" applyAlignment="1">
      <alignment horizontal="center" vertical="center" wrapText="1"/>
    </xf>
    <xf numFmtId="0" fontId="12" fillId="6" borderId="21" xfId="0" applyFont="1" applyFill="1" applyBorder="1"/>
    <xf numFmtId="0" fontId="12" fillId="6" borderId="21" xfId="0" applyFont="1" applyFill="1" applyBorder="1" applyAlignment="1">
      <alignment horizontal="left"/>
    </xf>
    <xf numFmtId="166" fontId="12" fillId="6" borderId="21" xfId="0" applyNumberFormat="1" applyFont="1" applyFill="1" applyBorder="1" applyAlignment="1">
      <alignment horizontal="right"/>
    </xf>
    <xf numFmtId="166" fontId="12" fillId="6" borderId="21" xfId="0" applyNumberFormat="1" applyFont="1" applyFill="1" applyBorder="1"/>
    <xf numFmtId="9" fontId="11" fillId="6" borderId="21" xfId="0" applyNumberFormat="1" applyFont="1" applyFill="1" applyBorder="1" applyAlignment="1">
      <alignment horizontal="right"/>
    </xf>
    <xf numFmtId="2" fontId="11" fillId="6" borderId="21" xfId="0" applyNumberFormat="1" applyFont="1" applyFill="1" applyBorder="1" applyAlignment="1">
      <alignment horizontal="right"/>
    </xf>
    <xf numFmtId="10" fontId="11" fillId="6" borderId="21" xfId="0" applyNumberFormat="1" applyFont="1" applyFill="1" applyBorder="1" applyAlignment="1">
      <alignment horizontal="right"/>
    </xf>
    <xf numFmtId="10" fontId="12" fillId="6" borderId="21" xfId="0" applyNumberFormat="1" applyFont="1" applyFill="1" applyBorder="1"/>
    <xf numFmtId="166" fontId="11" fillId="6" borderId="21" xfId="0" applyNumberFormat="1" applyFont="1" applyFill="1" applyBorder="1"/>
    <xf numFmtId="0" fontId="12" fillId="6" borderId="0" xfId="0" applyFont="1" applyFill="1"/>
    <xf numFmtId="10" fontId="3" fillId="6" borderId="45" xfId="0" applyNumberFormat="1" applyFont="1" applyFill="1" applyBorder="1" applyAlignment="1">
      <alignment horizontal="center" vertical="center"/>
    </xf>
    <xf numFmtId="10" fontId="3" fillId="6" borderId="54" xfId="0" applyNumberFormat="1" applyFont="1" applyFill="1" applyBorder="1" applyAlignment="1">
      <alignment horizontal="center" vertical="center"/>
    </xf>
    <xf numFmtId="0" fontId="0" fillId="3" borderId="55" xfId="0" applyFill="1" applyBorder="1"/>
    <xf numFmtId="0" fontId="5" fillId="6" borderId="21" xfId="0" applyFont="1" applyFill="1" applyBorder="1"/>
    <xf numFmtId="10" fontId="12" fillId="6" borderId="52" xfId="0" applyNumberFormat="1" applyFont="1" applyFill="1" applyBorder="1"/>
    <xf numFmtId="44" fontId="2" fillId="6" borderId="63" xfId="2" applyNumberFormat="1" applyFill="1" applyBorder="1" applyAlignment="1">
      <alignment horizontal="left"/>
    </xf>
    <xf numFmtId="0" fontId="3" fillId="6" borderId="65" xfId="0" applyFont="1" applyFill="1" applyBorder="1" applyAlignment="1">
      <alignment horizontal="center" vertical="center"/>
    </xf>
    <xf numFmtId="0" fontId="3" fillId="6" borderId="63" xfId="0" applyFont="1" applyFill="1" applyBorder="1" applyAlignment="1">
      <alignment horizontal="center" vertical="center"/>
    </xf>
    <xf numFmtId="0" fontId="5" fillId="6" borderId="60" xfId="0" applyFont="1" applyFill="1" applyBorder="1" applyAlignment="1">
      <alignment horizontal="center" vertical="center"/>
    </xf>
    <xf numFmtId="0" fontId="5" fillId="6" borderId="44" xfId="0" applyFont="1" applyFill="1" applyBorder="1" applyAlignment="1">
      <alignment horizontal="center" vertical="center"/>
    </xf>
    <xf numFmtId="0" fontId="5" fillId="6" borderId="61" xfId="0" applyFont="1" applyFill="1" applyBorder="1" applyAlignment="1">
      <alignment horizontal="center" vertical="center"/>
    </xf>
    <xf numFmtId="9" fontId="3" fillId="6" borderId="60" xfId="0" applyNumberFormat="1" applyFont="1" applyFill="1" applyBorder="1" applyAlignment="1">
      <alignment horizontal="center" vertical="center"/>
    </xf>
    <xf numFmtId="0" fontId="5" fillId="0" borderId="24" xfId="0" applyFont="1" applyBorder="1"/>
    <xf numFmtId="0" fontId="5" fillId="0" borderId="50" xfId="0" applyFont="1" applyBorder="1"/>
    <xf numFmtId="0" fontId="3" fillId="9" borderId="63" xfId="0" applyFont="1" applyFill="1" applyBorder="1" applyAlignment="1">
      <alignment horizontal="left" vertical="top" wrapText="1"/>
    </xf>
    <xf numFmtId="167" fontId="3" fillId="0" borderId="2" xfId="0" applyNumberFormat="1" applyFont="1" applyBorder="1" applyAlignment="1">
      <alignment horizontal="center" vertical="center" wrapText="1"/>
    </xf>
    <xf numFmtId="0" fontId="9" fillId="3" borderId="42" xfId="1" applyFont="1" applyFill="1" applyBorder="1" applyAlignment="1">
      <alignment horizontal="center"/>
    </xf>
    <xf numFmtId="0" fontId="9" fillId="3" borderId="43" xfId="1" applyFont="1" applyFill="1" applyBorder="1" applyAlignment="1">
      <alignment horizontal="center"/>
    </xf>
    <xf numFmtId="0" fontId="9" fillId="3" borderId="0" xfId="1" applyFont="1" applyFill="1" applyBorder="1" applyAlignment="1">
      <alignment horizontal="center" vertical="center"/>
    </xf>
    <xf numFmtId="0" fontId="9" fillId="3" borderId="55" xfId="1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6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1" applyBorder="1" applyAlignment="1">
      <alignment horizontal="center"/>
    </xf>
    <xf numFmtId="164" fontId="0" fillId="0" borderId="71" xfId="0" applyNumberFormat="1" applyBorder="1"/>
    <xf numFmtId="164" fontId="0" fillId="0" borderId="72" xfId="0" applyNumberFormat="1" applyBorder="1"/>
  </cellXfs>
  <cellStyles count="3">
    <cellStyle name="Heading 1" xfId="1" builtinId="16"/>
    <cellStyle name="Heading 4" xfId="2" builtinId="19"/>
    <cellStyle name="Normal" xfId="0" builtinId="0"/>
  </cellStyles>
  <dxfs count="3"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Annual Benefit for GC Sales</a:t>
            </a:r>
          </a:p>
        </c:rich>
      </c:tx>
      <c:layout>
        <c:manualLayout>
          <c:xMode val="edge"/>
          <c:yMode val="edge"/>
          <c:x val="0.2257567804024496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'Business Model'!$H$3</c:f>
              <c:strCache>
                <c:ptCount val="1"/>
                <c:pt idx="0">
                  <c:v>Breakage Revenue: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'Business Model'!$G$31:$G$37</c:f>
              <c:numCache>
                <c:formatCode>"$"#,##0,"K"</c:formatCode>
                <c:ptCount val="7"/>
                <c:pt idx="0">
                  <c:v>10000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250000</c:v>
                </c:pt>
                <c:pt idx="5">
                  <c:v>500000</c:v>
                </c:pt>
                <c:pt idx="6" formatCode="&quot;$&quot;#,&quot;M&quot;">
                  <c:v>1000000</c:v>
                </c:pt>
              </c:numCache>
            </c:numRef>
          </c:cat>
          <c:val>
            <c:numRef>
              <c:f>'Business Model'!$H$4:$H$10</c:f>
              <c:numCache>
                <c:formatCode>"$"#,##0.00</c:formatCode>
                <c:ptCount val="7"/>
                <c:pt idx="0">
                  <c:v>937.5</c:v>
                </c:pt>
                <c:pt idx="1">
                  <c:v>1875</c:v>
                </c:pt>
                <c:pt idx="2">
                  <c:v>3750</c:v>
                </c:pt>
                <c:pt idx="3">
                  <c:v>7500</c:v>
                </c:pt>
                <c:pt idx="4">
                  <c:v>11250</c:v>
                </c:pt>
                <c:pt idx="5">
                  <c:v>16875</c:v>
                </c:pt>
                <c:pt idx="6">
                  <c:v>25312.5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5E-4DD7-861B-FEEE2A3E1CB6}"/>
            </c:ext>
          </c:extLst>
        </c:ser>
        <c:ser>
          <c:idx val="1"/>
          <c:order val="1"/>
          <c:tx>
            <c:strRef>
              <c:f>'Business Model'!$J$3</c:f>
              <c:strCache>
                <c:ptCount val="1"/>
                <c:pt idx="0">
                  <c:v>Loan Cost Avoided: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'Business Model'!$G$31:$G$37</c:f>
              <c:numCache>
                <c:formatCode>"$"#,##0,"K"</c:formatCode>
                <c:ptCount val="7"/>
                <c:pt idx="0">
                  <c:v>10000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250000</c:v>
                </c:pt>
                <c:pt idx="5">
                  <c:v>500000</c:v>
                </c:pt>
                <c:pt idx="6" formatCode="&quot;$&quot;#,&quot;M&quot;">
                  <c:v>1000000</c:v>
                </c:pt>
              </c:numCache>
            </c:numRef>
          </c:cat>
          <c:val>
            <c:numRef>
              <c:f>'Business Model'!$J$4:$J$10</c:f>
              <c:numCache>
                <c:formatCode>"$"#,##0.00</c:formatCode>
                <c:ptCount val="7"/>
                <c:pt idx="0">
                  <c:v>878.90625</c:v>
                </c:pt>
                <c:pt idx="1">
                  <c:v>1484.375</c:v>
                </c:pt>
                <c:pt idx="2">
                  <c:v>2968.75</c:v>
                </c:pt>
                <c:pt idx="3">
                  <c:v>5937.5</c:v>
                </c:pt>
                <c:pt idx="4">
                  <c:v>7734.375</c:v>
                </c:pt>
                <c:pt idx="5">
                  <c:v>9492.1875</c:v>
                </c:pt>
                <c:pt idx="6">
                  <c:v>14238.281250000002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5E-4DD7-861B-FEEE2A3E1CB6}"/>
            </c:ext>
          </c:extLst>
        </c:ser>
        <c:ser>
          <c:idx val="2"/>
          <c:order val="2"/>
          <c:tx>
            <c:strRef>
              <c:f>'Business Model'!$K$3</c:f>
              <c:strCache>
                <c:ptCount val="1"/>
                <c:pt idx="0">
                  <c:v>Total Annual Benefit: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'Business Model'!$G$31:$G$37</c:f>
              <c:numCache>
                <c:formatCode>"$"#,##0,"K"</c:formatCode>
                <c:ptCount val="7"/>
                <c:pt idx="0">
                  <c:v>10000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250000</c:v>
                </c:pt>
                <c:pt idx="5">
                  <c:v>500000</c:v>
                </c:pt>
                <c:pt idx="6" formatCode="&quot;$&quot;#,&quot;M&quot;">
                  <c:v>1000000</c:v>
                </c:pt>
              </c:numCache>
            </c:numRef>
          </c:cat>
          <c:val>
            <c:numRef>
              <c:f>'Business Model'!$K$4:$K$10</c:f>
              <c:numCache>
                <c:formatCode>"$"#,##0.00</c:formatCode>
                <c:ptCount val="7"/>
                <c:pt idx="0">
                  <c:v>1816.40625</c:v>
                </c:pt>
                <c:pt idx="1">
                  <c:v>3359.375</c:v>
                </c:pt>
                <c:pt idx="2">
                  <c:v>6718.75</c:v>
                </c:pt>
                <c:pt idx="3">
                  <c:v>13437.5</c:v>
                </c:pt>
                <c:pt idx="4">
                  <c:v>18984.375</c:v>
                </c:pt>
                <c:pt idx="5">
                  <c:v>26367.1875</c:v>
                </c:pt>
                <c:pt idx="6">
                  <c:v>39550.78125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5E-4DD7-861B-FEEE2A3E1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42063"/>
        <c:axId val="158451183"/>
      </c:lineChart>
      <c:catAx>
        <c:axId val="158442063"/>
        <c:scaling>
          <c:orientation val="minMax"/>
        </c:scaling>
        <c:delete val="0"/>
        <c:axPos val="b"/>
        <c:numFmt formatCode="&quot;$&quot;#,##0,&quot;K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1183"/>
        <c:crosses val="autoZero"/>
        <c:auto val="1"/>
        <c:lblAlgn val="ctr"/>
        <c:lblOffset val="100"/>
        <c:noMultiLvlLbl val="0"/>
      </c:catAx>
      <c:valAx>
        <c:axId val="158451183"/>
        <c:scaling>
          <c:orientation val="minMax"/>
        </c:scaling>
        <c:delete val="0"/>
        <c:axPos val="l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4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Cost of Capital: Bank Loan vs. Gift Card Promotion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'Business Model'!$H$30</c:f>
              <c:strCache>
                <c:ptCount val="1"/>
                <c:pt idx="0">
                  <c:v>Loan Cost Avoided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'Business Model'!$G$31:$G$37</c15:sqref>
                  </c15:fullRef>
                </c:ext>
              </c:extLst>
              <c:f>'Business Model'!$G$31:$G$36</c:f>
              <c:numCache>
                <c:formatCode>"$"#,##0,"K"</c:formatCode>
                <c:ptCount val="6"/>
                <c:pt idx="0">
                  <c:v>10000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250000</c:v>
                </c:pt>
                <c:pt idx="5">
                  <c:v>500000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'Business Model'!$H$31:$H$37</c15:sqref>
                  </c15:fullRef>
                </c:ext>
              </c:extLst>
              <c:f>'Business Model'!$H$31:$H$36</c:f>
              <c:numCache>
                <c:formatCode>"$"#,##0.00_);[Red]\("$"#,##0.00\)</c:formatCode>
                <c:ptCount val="6"/>
                <c:pt idx="0">
                  <c:v>804</c:v>
                </c:pt>
                <c:pt idx="1">
                  <c:v>2010</c:v>
                </c:pt>
                <c:pt idx="2">
                  <c:v>4020</c:v>
                </c:pt>
                <c:pt idx="3">
                  <c:v>8040</c:v>
                </c:pt>
                <c:pt idx="4">
                  <c:v>20100</c:v>
                </c:pt>
                <c:pt idx="5">
                  <c:v>40200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4D-45A9-91D7-305894936626}"/>
            </c:ext>
          </c:extLst>
        </c:ser>
        <c:ser>
          <c:idx val="1"/>
          <c:order val="1"/>
          <c:tx>
            <c:strRef>
              <c:f>'Business Model'!$I$30</c:f>
              <c:strCache>
                <c:ptCount val="1"/>
                <c:pt idx="0">
                  <c:v>Promotion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'Business Model'!$G$31:$G$37</c15:sqref>
                  </c15:fullRef>
                </c:ext>
              </c:extLst>
              <c:f>'Business Model'!$G$31:$G$36</c:f>
              <c:numCache>
                <c:formatCode>"$"#,##0,"K"</c:formatCode>
                <c:ptCount val="6"/>
                <c:pt idx="0">
                  <c:v>10000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250000</c:v>
                </c:pt>
                <c:pt idx="5">
                  <c:v>500000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'Business Model'!$I$31:$I$37</c15:sqref>
                  </c15:fullRef>
                </c:ext>
              </c:extLst>
              <c:f>'Business Model'!$I$31:$I$36</c:f>
              <c:numCache>
                <c:formatCode>"$"#,##0_);[Red]\("$"#,##0\)</c:formatCode>
                <c:ptCount val="6"/>
                <c:pt idx="0">
                  <c:v>2000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50000</c:v>
                </c:pt>
                <c:pt idx="5">
                  <c:v>100000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4D-45A9-91D7-305894936626}"/>
            </c:ext>
          </c:extLst>
        </c:ser>
        <c:ser>
          <c:idx val="2"/>
          <c:order val="2"/>
          <c:tx>
            <c:strRef>
              <c:f>'Business Model'!$J$30</c:f>
              <c:strCache>
                <c:ptCount val="1"/>
                <c:pt idx="0">
                  <c:v>Net True Benefit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'Business Model'!$G$31:$G$37</c15:sqref>
                  </c15:fullRef>
                </c:ext>
              </c:extLst>
              <c:f>'Business Model'!$G$31:$G$36</c:f>
              <c:numCache>
                <c:formatCode>"$"#,##0,"K"</c:formatCode>
                <c:ptCount val="6"/>
                <c:pt idx="0">
                  <c:v>10000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250000</c:v>
                </c:pt>
                <c:pt idx="5">
                  <c:v>500000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'Business Model'!$J$31:$J$37</c15:sqref>
                  </c15:fullRef>
                </c:ext>
              </c:extLst>
              <c:f>'Business Model'!$J$31:$J$36</c:f>
              <c:numCache>
                <c:formatCode>"$"#,##0_);[Red]\("$"#,##0\)</c:formatCode>
                <c:ptCount val="6"/>
                <c:pt idx="0">
                  <c:v>304</c:v>
                </c:pt>
                <c:pt idx="1">
                  <c:v>760</c:v>
                </c:pt>
                <c:pt idx="2">
                  <c:v>1520</c:v>
                </c:pt>
                <c:pt idx="3">
                  <c:v>3040</c:v>
                </c:pt>
                <c:pt idx="4">
                  <c:v>7600</c:v>
                </c:pt>
                <c:pt idx="5">
                  <c:v>15200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4D-45A9-91D7-305894936626}"/>
            </c:ext>
          </c:extLst>
        </c:ser>
        <c:ser>
          <c:idx val="3"/>
          <c:order val="3"/>
          <c:tx>
            <c:strRef>
              <c:f>'Business Model'!$K$30</c:f>
              <c:strCache>
                <c:ptCount val="1"/>
                <c:pt idx="0">
                  <c:v>Breakage Revenue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'Business Model'!$G$31:$G$37</c15:sqref>
                  </c15:fullRef>
                </c:ext>
              </c:extLst>
              <c:f>'Business Model'!$G$31:$G$36</c:f>
              <c:numCache>
                <c:formatCode>"$"#,##0,"K"</c:formatCode>
                <c:ptCount val="6"/>
                <c:pt idx="0">
                  <c:v>10000</c:v>
                </c:pt>
                <c:pt idx="1">
                  <c:v>25000</c:v>
                </c:pt>
                <c:pt idx="2">
                  <c:v>50000</c:v>
                </c:pt>
                <c:pt idx="3">
                  <c:v>100000</c:v>
                </c:pt>
                <c:pt idx="4">
                  <c:v>250000</c:v>
                </c:pt>
                <c:pt idx="5">
                  <c:v>500000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'Business Model'!$K$31:$K$37</c15:sqref>
                  </c15:fullRef>
                </c:ext>
              </c:extLst>
              <c:f>'Business Model'!$K$31:$K$36</c:f>
              <c:numCache>
                <c:formatCode>"$"#,##0_);[Red]\("$"#,##0\)</c:formatCode>
                <c:ptCount val="6"/>
                <c:pt idx="0">
                  <c:v>1500</c:v>
                </c:pt>
                <c:pt idx="1">
                  <c:v>3750</c:v>
                </c:pt>
                <c:pt idx="2">
                  <c:v>7500</c:v>
                </c:pt>
                <c:pt idx="3">
                  <c:v>15000</c:v>
                </c:pt>
                <c:pt idx="4">
                  <c:v>37500</c:v>
                </c:pt>
                <c:pt idx="5">
                  <c:v>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4D-45A9-91D7-305894936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0874111"/>
        <c:axId val="1252332911"/>
      </c:lineChart>
      <c:catAx>
        <c:axId val="1220874111"/>
        <c:scaling>
          <c:orientation val="minMax"/>
        </c:scaling>
        <c:delete val="0"/>
        <c:axPos val="b"/>
        <c:numFmt formatCode="&quot;$&quot;#,##0,&quot;K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332911"/>
        <c:crosses val="autoZero"/>
        <c:auto val="1"/>
        <c:lblAlgn val="ctr"/>
        <c:lblOffset val="100"/>
        <c:noMultiLvlLbl val="0"/>
      </c:catAx>
      <c:valAx>
        <c:axId val="1252332911"/>
        <c:scaling>
          <c:orientation val="minMax"/>
          <c:max val="100000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87411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4" dropStyle="combo" dx="22" fmlaLink="$A$4" fmlaRange="'Model Inputs'!$E$18:$E$21" noThreeD="1" sel="4" val="0"/>
</file>

<file path=xl/ctrlProps/ctrlProp2.xml><?xml version="1.0" encoding="utf-8"?>
<formControlPr xmlns="http://schemas.microsoft.com/office/spreadsheetml/2009/9/main" objectType="Drop" dropStyle="combo" dx="22" fmlaLink="$A$6" fmlaRange="'Model Inputs'!$E$5:$E$7" noThreeD="1" sel="2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</xdr:row>
          <xdr:rowOff>38100</xdr:rowOff>
        </xdr:from>
        <xdr:to>
          <xdr:col>3</xdr:col>
          <xdr:colOff>723900</xdr:colOff>
          <xdr:row>4</xdr:row>
          <xdr:rowOff>144780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2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297180</xdr:colOff>
          <xdr:row>5</xdr:row>
          <xdr:rowOff>60960</xdr:rowOff>
        </xdr:from>
        <xdr:to>
          <xdr:col>3</xdr:col>
          <xdr:colOff>723900</xdr:colOff>
          <xdr:row>6</xdr:row>
          <xdr:rowOff>175260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11206</xdr:colOff>
      <xdr:row>10</xdr:row>
      <xdr:rowOff>11207</xdr:rowOff>
    </xdr:from>
    <xdr:to>
      <xdr:col>11</xdr:col>
      <xdr:colOff>1210236</xdr:colOff>
      <xdr:row>26</xdr:row>
      <xdr:rowOff>134470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66EBEC-4F93-9DD6-71B7-B62D5EF06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44824</xdr:colOff>
      <xdr:row>10</xdr:row>
      <xdr:rowOff>56030</xdr:rowOff>
    </xdr:from>
    <xdr:to>
      <xdr:col>7</xdr:col>
      <xdr:colOff>1434353</xdr:colOff>
      <xdr:row>26</xdr:row>
      <xdr:rowOff>156883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43472E-1089-E8DC-93DF-0775B62D95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9550-CAC7-4574-B7DA-B5CF40456B6D}">
  <sheetPr codeName="Sheet1"/>
  <dimension ref="B2:K21"/>
  <sheetViews>
    <sheetView workbookViewId="0">
      <selection activeCell="E16" activeCellId="1" sqref="G16:G21 E16:E21"/>
    </sheetView>
  </sheetViews>
  <sheetFormatPr defaultRowHeight="14.4" x14ac:dyDescent="0.3"/>
  <cols>
    <col min="2" max="2" width="18.5546875" bestFit="1" customWidth="1"/>
    <col min="3" max="3" width="11" customWidth="1"/>
    <col min="5" max="5" width="21" bestFit="1" customWidth="1"/>
    <col min="6" max="8" width="32.33203125" customWidth="1"/>
    <col min="9" max="9" width="23.44140625" customWidth="1"/>
    <col min="10" max="10" width="20.109375" customWidth="1"/>
    <col min="11" max="11" width="25.88671875" customWidth="1"/>
    <col min="14" max="14" width="20.6640625" bestFit="1" customWidth="1"/>
    <col min="15" max="15" width="17" bestFit="1" customWidth="1"/>
    <col min="16" max="16" width="10.88671875" bestFit="1" customWidth="1"/>
    <col min="17" max="17" width="17.33203125" bestFit="1" customWidth="1"/>
    <col min="18" max="18" width="17.88671875" bestFit="1" customWidth="1"/>
  </cols>
  <sheetData>
    <row r="2" spans="2:11" x14ac:dyDescent="0.3">
      <c r="B2" s="41" t="s">
        <v>28</v>
      </c>
      <c r="C2" s="39">
        <f>IF(B3= "Best Case",1,IF(B3="Base Case",2,IF(B3="Worst Case",3)))</f>
        <v>3</v>
      </c>
      <c r="F2" s="167" t="s">
        <v>14</v>
      </c>
      <c r="G2" s="167"/>
      <c r="H2" s="167"/>
      <c r="I2" s="167"/>
      <c r="J2" s="167"/>
      <c r="K2" s="167"/>
    </row>
    <row r="3" spans="2:11" x14ac:dyDescent="0.3">
      <c r="B3" s="39" t="s">
        <v>13</v>
      </c>
      <c r="C3" s="39"/>
      <c r="F3" s="6"/>
      <c r="G3" s="6"/>
      <c r="H3" s="6"/>
      <c r="I3" s="6"/>
      <c r="J3" s="6"/>
      <c r="K3" s="6"/>
    </row>
    <row r="4" spans="2:11" x14ac:dyDescent="0.3">
      <c r="B4" s="39" t="s">
        <v>50</v>
      </c>
      <c r="C4" s="39">
        <v>12</v>
      </c>
      <c r="E4" s="39"/>
      <c r="F4" s="39">
        <v>2020</v>
      </c>
      <c r="G4" s="39">
        <f>F4+1</f>
        <v>2021</v>
      </c>
      <c r="H4" s="39">
        <f>G4+1</f>
        <v>2022</v>
      </c>
      <c r="I4" s="39">
        <f>H4+1</f>
        <v>2023</v>
      </c>
      <c r="J4" s="39">
        <f>I4+1</f>
        <v>2024</v>
      </c>
      <c r="K4" s="39">
        <f>J4+1</f>
        <v>2025</v>
      </c>
    </row>
    <row r="5" spans="2:11" x14ac:dyDescent="0.3">
      <c r="E5" s="39" t="s">
        <v>11</v>
      </c>
      <c r="F5" s="40">
        <v>0.19</v>
      </c>
      <c r="G5" s="40">
        <v>0.19</v>
      </c>
      <c r="H5" s="40">
        <v>0.19</v>
      </c>
      <c r="I5" s="40">
        <v>0.19</v>
      </c>
      <c r="J5" s="40">
        <v>0.19</v>
      </c>
      <c r="K5" s="40">
        <v>0.19</v>
      </c>
    </row>
    <row r="6" spans="2:11" x14ac:dyDescent="0.3">
      <c r="E6" s="39" t="s">
        <v>12</v>
      </c>
      <c r="F6" s="40">
        <v>0.15</v>
      </c>
      <c r="G6" s="40">
        <v>0.15</v>
      </c>
      <c r="H6" s="40">
        <v>0.15</v>
      </c>
      <c r="I6" s="40">
        <v>0.15</v>
      </c>
      <c r="J6" s="40">
        <v>0.15</v>
      </c>
      <c r="K6" s="40">
        <v>0.15</v>
      </c>
    </row>
    <row r="7" spans="2:11" x14ac:dyDescent="0.3">
      <c r="E7" s="39" t="s">
        <v>13</v>
      </c>
      <c r="F7" s="40">
        <v>0.1</v>
      </c>
      <c r="G7" s="40">
        <v>0.1</v>
      </c>
      <c r="H7" s="40">
        <v>0.1</v>
      </c>
      <c r="I7" s="40">
        <v>0.1</v>
      </c>
      <c r="J7" s="40">
        <v>0.1</v>
      </c>
      <c r="K7" s="40">
        <v>0.1</v>
      </c>
    </row>
    <row r="9" spans="2:11" x14ac:dyDescent="0.3">
      <c r="F9" s="167" t="s">
        <v>15</v>
      </c>
      <c r="G9" s="167"/>
      <c r="H9" s="167"/>
      <c r="I9" s="167"/>
      <c r="J9" s="167"/>
      <c r="K9" s="167"/>
    </row>
    <row r="10" spans="2:11" x14ac:dyDescent="0.3">
      <c r="F10" s="6"/>
      <c r="G10" s="6"/>
      <c r="H10" s="6"/>
      <c r="I10" s="6"/>
      <c r="J10" s="6"/>
      <c r="K10" s="6"/>
    </row>
    <row r="11" spans="2:11" x14ac:dyDescent="0.3">
      <c r="E11" s="39"/>
      <c r="F11" s="39">
        <v>2020</v>
      </c>
      <c r="G11" s="39">
        <f>F11+1</f>
        <v>2021</v>
      </c>
      <c r="H11" s="39">
        <f>G11+1</f>
        <v>2022</v>
      </c>
      <c r="I11" s="39">
        <f>H11+1</f>
        <v>2023</v>
      </c>
      <c r="J11" s="39">
        <f>I11+1</f>
        <v>2024</v>
      </c>
      <c r="K11" s="39">
        <f>J11+1</f>
        <v>2025</v>
      </c>
    </row>
    <row r="12" spans="2:11" x14ac:dyDescent="0.3">
      <c r="E12" s="39" t="s">
        <v>11</v>
      </c>
      <c r="F12" s="40">
        <v>0.19</v>
      </c>
      <c r="G12" s="40">
        <v>0.19</v>
      </c>
      <c r="H12" s="40">
        <v>0.19</v>
      </c>
      <c r="I12" s="40">
        <v>0.19</v>
      </c>
      <c r="J12" s="40">
        <v>0.19</v>
      </c>
      <c r="K12" s="40">
        <v>0.19</v>
      </c>
    </row>
    <row r="13" spans="2:11" x14ac:dyDescent="0.3">
      <c r="E13" s="39" t="s">
        <v>12</v>
      </c>
      <c r="F13" s="40">
        <v>0.15</v>
      </c>
      <c r="G13" s="40">
        <v>0.15</v>
      </c>
      <c r="H13" s="40">
        <v>0.15</v>
      </c>
      <c r="I13" s="40">
        <v>0.15</v>
      </c>
      <c r="J13" s="40">
        <v>0.15</v>
      </c>
      <c r="K13" s="40">
        <v>0.15</v>
      </c>
    </row>
    <row r="14" spans="2:11" x14ac:dyDescent="0.3">
      <c r="E14" s="39" t="s">
        <v>13</v>
      </c>
      <c r="F14" s="40">
        <v>0.1</v>
      </c>
      <c r="G14" s="40">
        <v>0.1</v>
      </c>
      <c r="H14" s="40">
        <v>0.1</v>
      </c>
      <c r="I14" s="40">
        <v>0.1</v>
      </c>
      <c r="J14" s="40">
        <v>0.1</v>
      </c>
      <c r="K14" s="40">
        <v>0.1</v>
      </c>
    </row>
    <row r="16" spans="2:11" x14ac:dyDescent="0.3">
      <c r="E16" s="47" t="s">
        <v>40</v>
      </c>
      <c r="F16" s="46" t="s">
        <v>42</v>
      </c>
      <c r="G16" s="47" t="s">
        <v>35</v>
      </c>
      <c r="H16" s="47" t="s">
        <v>41</v>
      </c>
    </row>
    <row r="17" spans="5:8" x14ac:dyDescent="0.3">
      <c r="E17" s="67">
        <v>6.7500000000000004E-2</v>
      </c>
      <c r="F17" s="48"/>
      <c r="G17" s="39"/>
      <c r="H17" s="39"/>
    </row>
    <row r="18" spans="5:8" x14ac:dyDescent="0.3">
      <c r="E18" s="50" t="s">
        <v>37</v>
      </c>
      <c r="F18" s="49">
        <v>1</v>
      </c>
      <c r="G18" s="40">
        <v>0</v>
      </c>
      <c r="H18" s="52">
        <f>$E$17+G18</f>
        <v>6.7500000000000004E-2</v>
      </c>
    </row>
    <row r="19" spans="5:8" x14ac:dyDescent="0.3">
      <c r="E19" s="50" t="s">
        <v>38</v>
      </c>
      <c r="F19" s="49">
        <v>2</v>
      </c>
      <c r="G19" s="51">
        <v>1.4999999999999999E-2</v>
      </c>
      <c r="H19" s="52">
        <f>$E$17+G19</f>
        <v>8.2500000000000004E-2</v>
      </c>
    </row>
    <row r="20" spans="5:8" x14ac:dyDescent="0.3">
      <c r="E20" s="50" t="s">
        <v>36</v>
      </c>
      <c r="F20" s="49">
        <v>3</v>
      </c>
      <c r="G20" s="51">
        <v>2.75E-2</v>
      </c>
      <c r="H20" s="52">
        <f>$E$17+G20</f>
        <v>9.5000000000000001E-2</v>
      </c>
    </row>
    <row r="21" spans="5:8" x14ac:dyDescent="0.3">
      <c r="E21" s="50" t="s">
        <v>39</v>
      </c>
      <c r="F21" s="49">
        <v>4</v>
      </c>
      <c r="G21" s="51">
        <v>4.4999999999999998E-2</v>
      </c>
      <c r="H21" s="52">
        <f>$E$17+G21</f>
        <v>0.1125</v>
      </c>
    </row>
  </sheetData>
  <mergeCells count="2">
    <mergeCell ref="F2:K2"/>
    <mergeCell ref="F9:K9"/>
  </mergeCells>
  <dataValidations count="1">
    <dataValidation type="list" allowBlank="1" showInputMessage="1" showErrorMessage="1" sqref="B3" xr:uid="{8040C690-5E3D-43A2-BA02-B40F8292EF8C}">
      <formula1>$E$5:$E$7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E271-C597-4ED9-8067-30812D82F9DA}">
  <sheetPr codeName="Sheet2"/>
  <dimension ref="A2:L26"/>
  <sheetViews>
    <sheetView showGridLines="0" tabSelected="1" topLeftCell="B1" workbookViewId="0">
      <selection activeCell="K14" sqref="K14"/>
    </sheetView>
  </sheetViews>
  <sheetFormatPr defaultRowHeight="14.4" x14ac:dyDescent="0.3"/>
  <cols>
    <col min="1" max="1" width="12.33203125" hidden="1" customWidth="1"/>
    <col min="3" max="3" width="12.33203125" bestFit="1" customWidth="1"/>
    <col min="4" max="4" width="18.5546875" style="3" bestFit="1" customWidth="1"/>
    <col min="5" max="5" width="16.6640625" bestFit="1" customWidth="1"/>
    <col min="6" max="6" width="27.6640625" bestFit="1" customWidth="1"/>
    <col min="7" max="7" width="29.44140625" style="7" customWidth="1"/>
    <col min="8" max="8" width="22.88671875" bestFit="1" customWidth="1"/>
    <col min="9" max="9" width="28.109375" bestFit="1" customWidth="1"/>
    <col min="10" max="10" width="20.6640625" bestFit="1" customWidth="1"/>
    <col min="11" max="11" width="22.109375" bestFit="1" customWidth="1"/>
    <col min="12" max="12" width="9.109375" bestFit="1" customWidth="1"/>
    <col min="13" max="13" width="20.109375" customWidth="1"/>
  </cols>
  <sheetData>
    <row r="2" spans="1:12" ht="20.399999999999999" thickBot="1" x14ac:dyDescent="0.45">
      <c r="C2" s="168" t="s">
        <v>27</v>
      </c>
      <c r="D2" s="168"/>
      <c r="E2" s="168"/>
      <c r="F2" s="168"/>
      <c r="G2" s="168"/>
      <c r="H2" s="168"/>
      <c r="I2" s="168"/>
    </row>
    <row r="3" spans="1:12" ht="15.6" thickTop="1" thickBot="1" x14ac:dyDescent="0.35">
      <c r="A3" s="36">
        <f>'Model Inputs'!C2</f>
        <v>3</v>
      </c>
      <c r="C3" s="14" t="s">
        <v>0</v>
      </c>
      <c r="D3" s="34" t="s">
        <v>8</v>
      </c>
      <c r="E3" s="34" t="s">
        <v>22</v>
      </c>
      <c r="F3" s="34" t="s">
        <v>25</v>
      </c>
      <c r="G3" s="34" t="s">
        <v>24</v>
      </c>
      <c r="H3" s="34" t="s">
        <v>16</v>
      </c>
      <c r="I3" s="34" t="s">
        <v>23</v>
      </c>
    </row>
    <row r="4" spans="1:12" ht="15" thickTop="1" x14ac:dyDescent="0.3">
      <c r="B4" s="5"/>
      <c r="C4" s="8" t="s">
        <v>1</v>
      </c>
      <c r="D4" s="16">
        <v>1457</v>
      </c>
      <c r="E4" s="56" t="str">
        <f>IFERROR(D4/D3-1, " -")</f>
        <v xml:space="preserve"> -</v>
      </c>
      <c r="F4" s="21">
        <v>3.5400000000000001E-2</v>
      </c>
      <c r="G4" s="28">
        <f t="shared" ref="G4:G9" si="0">D4*$F4</f>
        <v>51.577800000000003</v>
      </c>
      <c r="H4" s="53">
        <f>IF($A$3=1,'Model Inputs'!F$5,IF($A$3=2,'Model Inputs'!F$6,IF($A$3=3,'Model Inputs'!F$7)))</f>
        <v>0.1</v>
      </c>
      <c r="I4" s="19">
        <f t="shared" ref="I4:I9" si="1">D4*H4</f>
        <v>145.70000000000002</v>
      </c>
      <c r="J4" s="13"/>
    </row>
    <row r="5" spans="1:12" x14ac:dyDescent="0.3">
      <c r="B5" s="5"/>
      <c r="C5" s="8" t="s">
        <v>2</v>
      </c>
      <c r="D5" s="16">
        <v>1596</v>
      </c>
      <c r="E5" s="57">
        <f t="shared" ref="E5:E9" si="2">IFERROR(D5/D4-1, " -")</f>
        <v>9.5401509951956065E-2</v>
      </c>
      <c r="F5" s="22">
        <v>3.2500000000000001E-2</v>
      </c>
      <c r="G5" s="28">
        <f t="shared" si="0"/>
        <v>51.870000000000005</v>
      </c>
      <c r="H5" s="54">
        <f>IF($A$3=1,'Model Inputs'!F$5,IF($A$3=2,'Model Inputs'!F$6,IF($A$3=3,'Model Inputs'!F$7)))</f>
        <v>0.1</v>
      </c>
      <c r="I5" s="20">
        <f t="shared" si="1"/>
        <v>159.60000000000002</v>
      </c>
      <c r="J5" s="13"/>
    </row>
    <row r="6" spans="1:12" x14ac:dyDescent="0.3">
      <c r="B6" s="5"/>
      <c r="C6" s="8" t="s">
        <v>3</v>
      </c>
      <c r="D6" s="16">
        <v>1642</v>
      </c>
      <c r="E6" s="57">
        <f t="shared" si="2"/>
        <v>2.8822055137844638E-2</v>
      </c>
      <c r="F6" s="22">
        <v>4.8599999999999997E-2</v>
      </c>
      <c r="G6" s="28">
        <f t="shared" si="0"/>
        <v>79.801199999999994</v>
      </c>
      <c r="H6" s="54">
        <f>IF($A$3=1,'Model Inputs'!F$5,IF($A$3=2,'Model Inputs'!F$6,IF($A$3=3,'Model Inputs'!F$7)))</f>
        <v>0.1</v>
      </c>
      <c r="I6" s="20">
        <f t="shared" si="1"/>
        <v>164.20000000000002</v>
      </c>
      <c r="J6" s="13"/>
    </row>
    <row r="7" spans="1:12" x14ac:dyDescent="0.3">
      <c r="B7" s="5"/>
      <c r="C7" s="8" t="s">
        <v>4</v>
      </c>
      <c r="D7" s="16">
        <v>1796</v>
      </c>
      <c r="E7" s="57">
        <f t="shared" si="2"/>
        <v>9.3788063337393313E-2</v>
      </c>
      <c r="F7" s="22">
        <v>8.2000000000000003E-2</v>
      </c>
      <c r="G7" s="28">
        <f t="shared" si="0"/>
        <v>147.27200000000002</v>
      </c>
      <c r="H7" s="54">
        <f>IF($A$3=1,'Model Inputs'!F$5,IF($A$3=2,'Model Inputs'!F$6,IF($A$3=3,'Model Inputs'!F$7)))</f>
        <v>0.1</v>
      </c>
      <c r="I7" s="20">
        <f t="shared" si="1"/>
        <v>179.60000000000002</v>
      </c>
      <c r="J7" s="13"/>
    </row>
    <row r="8" spans="1:12" ht="15" thickBot="1" x14ac:dyDescent="0.35">
      <c r="B8" s="5"/>
      <c r="C8" s="8" t="s">
        <v>5</v>
      </c>
      <c r="D8" s="16">
        <v>1781</v>
      </c>
      <c r="E8" s="57">
        <f t="shared" si="2"/>
        <v>-8.3518930957683368E-3</v>
      </c>
      <c r="F8" s="22">
        <v>8.3099999999999993E-2</v>
      </c>
      <c r="G8" s="28">
        <f t="shared" si="0"/>
        <v>148.00109999999998</v>
      </c>
      <c r="H8" s="54">
        <f>IF($A$3=1,'Model Inputs'!F$5,IF($A$3=2,'Model Inputs'!F$6,IF($A$3=3,'Model Inputs'!F$7)))</f>
        <v>0.1</v>
      </c>
      <c r="I8" s="20">
        <f t="shared" si="1"/>
        <v>178.10000000000002</v>
      </c>
      <c r="J8" s="13"/>
    </row>
    <row r="9" spans="1:12" ht="15.6" thickTop="1" thickBot="1" x14ac:dyDescent="0.35">
      <c r="B9" s="5"/>
      <c r="C9" s="8" t="s">
        <v>6</v>
      </c>
      <c r="D9" s="17">
        <v>1841</v>
      </c>
      <c r="E9" s="57">
        <f t="shared" si="2"/>
        <v>3.3688938798427825E-2</v>
      </c>
      <c r="F9" s="23">
        <v>7.3700000000000002E-2</v>
      </c>
      <c r="G9" s="31">
        <f t="shared" si="0"/>
        <v>135.68170000000001</v>
      </c>
      <c r="H9" s="55">
        <f>IF($A$3=1,'Model Inputs'!F$5,IF($A$3=2,'Model Inputs'!F$6,IF($A$3=3,'Model Inputs'!F$7)))</f>
        <v>0.1</v>
      </c>
      <c r="I9" s="170">
        <f t="shared" si="1"/>
        <v>184.10000000000002</v>
      </c>
      <c r="J9" s="34" t="s">
        <v>76</v>
      </c>
    </row>
    <row r="10" spans="1:12" ht="15.6" thickTop="1" thickBot="1" x14ac:dyDescent="0.35">
      <c r="C10" s="24" t="s">
        <v>18</v>
      </c>
      <c r="D10" s="25"/>
      <c r="E10" s="42"/>
      <c r="F10" s="26"/>
      <c r="G10" s="27">
        <f>SUM(G4:G9)</f>
        <v>614.2038</v>
      </c>
      <c r="H10" s="42"/>
      <c r="I10" s="27">
        <f>SUM(I4:I9)</f>
        <v>1011.3000000000002</v>
      </c>
      <c r="J10" s="27">
        <f>G10+I10</f>
        <v>1625.5038000000002</v>
      </c>
    </row>
    <row r="11" spans="1:12" ht="15.6" thickTop="1" thickBot="1" x14ac:dyDescent="0.35">
      <c r="D11" s="9"/>
      <c r="F11" s="10"/>
      <c r="G11" s="11"/>
      <c r="H11" s="10"/>
      <c r="I11" s="10"/>
      <c r="L11" s="3"/>
    </row>
    <row r="12" spans="1:12" ht="15" thickBot="1" x14ac:dyDescent="0.35">
      <c r="C12" s="35" t="str">
        <f>"Scenario: "&amp;'Model Inputs'!C2</f>
        <v>Scenario: 3</v>
      </c>
      <c r="E12" s="15" t="s">
        <v>29</v>
      </c>
      <c r="F12" s="58" t="s">
        <v>9</v>
      </c>
      <c r="G12" s="59"/>
      <c r="H12" s="59"/>
      <c r="I12" s="60"/>
    </row>
    <row r="13" spans="1:12" x14ac:dyDescent="0.3">
      <c r="F13" s="61" t="s">
        <v>10</v>
      </c>
      <c r="G13" s="62"/>
      <c r="H13" s="62"/>
      <c r="I13" s="63"/>
    </row>
    <row r="14" spans="1:12" x14ac:dyDescent="0.3">
      <c r="F14" s="61" t="s">
        <v>19</v>
      </c>
      <c r="G14" s="62"/>
      <c r="H14" s="62"/>
      <c r="I14" s="63"/>
    </row>
    <row r="15" spans="1:12" ht="15" thickBot="1" x14ac:dyDescent="0.35">
      <c r="F15" s="64" t="s">
        <v>20</v>
      </c>
      <c r="G15" s="65"/>
      <c r="H15" s="65"/>
      <c r="I15" s="66"/>
    </row>
    <row r="17" spans="2:10" ht="20.399999999999999" thickBot="1" x14ac:dyDescent="0.45">
      <c r="C17" s="168" t="s">
        <v>26</v>
      </c>
      <c r="D17" s="168"/>
      <c r="E17" s="168"/>
      <c r="F17" s="168"/>
      <c r="G17" s="168"/>
      <c r="H17" s="168"/>
      <c r="I17" s="168"/>
    </row>
    <row r="18" spans="2:10" ht="15.6" thickTop="1" thickBot="1" x14ac:dyDescent="0.35">
      <c r="C18" s="14" t="s">
        <v>0</v>
      </c>
      <c r="D18" s="33" t="s">
        <v>8</v>
      </c>
      <c r="E18" s="33" t="s">
        <v>22</v>
      </c>
      <c r="F18" s="33" t="s">
        <v>7</v>
      </c>
      <c r="G18" s="33" t="s">
        <v>24</v>
      </c>
      <c r="H18" s="33" t="s">
        <v>17</v>
      </c>
      <c r="I18" s="33" t="s">
        <v>23</v>
      </c>
    </row>
    <row r="19" spans="2:10" ht="15" thickTop="1" x14ac:dyDescent="0.3">
      <c r="B19" s="5"/>
      <c r="C19" s="8" t="s">
        <v>1</v>
      </c>
      <c r="D19" s="2">
        <v>105.4</v>
      </c>
      <c r="E19" s="38" t="str">
        <f>IFERROR(D19/D18-1, " -")</f>
        <v xml:space="preserve"> -</v>
      </c>
      <c r="F19" s="21">
        <v>3.5400000000000001E-2</v>
      </c>
      <c r="G19" s="29">
        <f t="shared" ref="G19:G24" si="3">D19*$F4</f>
        <v>3.7311600000000005</v>
      </c>
      <c r="H19" s="4">
        <f>IF($A$3=1,'Model Inputs'!G$5,IF($A$3=2,'Model Inputs'!G$6,IF($A$3=3,'Model Inputs'!G$7)))</f>
        <v>0.1</v>
      </c>
      <c r="I19" s="1">
        <f t="shared" ref="I19:I24" si="4">D19*H19</f>
        <v>10.540000000000001</v>
      </c>
      <c r="J19" s="13"/>
    </row>
    <row r="20" spans="2:10" x14ac:dyDescent="0.3">
      <c r="B20" s="5"/>
      <c r="C20" s="8" t="s">
        <v>2</v>
      </c>
      <c r="D20" s="2">
        <v>130.80000000000001</v>
      </c>
      <c r="E20" s="37">
        <f t="shared" ref="E20:E24" si="5">IFERROR(D20/D19-1, " -")</f>
        <v>0.24098671726755216</v>
      </c>
      <c r="F20" s="22">
        <v>3.2500000000000001E-2</v>
      </c>
      <c r="G20" s="30">
        <f t="shared" si="3"/>
        <v>4.2510000000000003</v>
      </c>
      <c r="H20" s="4">
        <f>IF($A$3=1,'Model Inputs'!G$5,IF($A$3=2,'Model Inputs'!G$6,IF($A$3=3,'Model Inputs'!G$7)))</f>
        <v>0.1</v>
      </c>
      <c r="I20" s="1">
        <f t="shared" si="4"/>
        <v>13.080000000000002</v>
      </c>
      <c r="J20" s="13"/>
    </row>
    <row r="21" spans="2:10" x14ac:dyDescent="0.3">
      <c r="B21" s="5"/>
      <c r="C21" s="8" t="s">
        <v>3</v>
      </c>
      <c r="D21" s="2">
        <v>145</v>
      </c>
      <c r="E21" s="37">
        <f t="shared" si="5"/>
        <v>0.1085626911314983</v>
      </c>
      <c r="F21" s="22">
        <v>4.8599999999999997E-2</v>
      </c>
      <c r="G21" s="30">
        <f t="shared" si="3"/>
        <v>7.0469999999999997</v>
      </c>
      <c r="H21" s="4">
        <f>IF($A$3=1,'Model Inputs'!G$5,IF($A$3=2,'Model Inputs'!G$6,IF($A$3=3,'Model Inputs'!G$7)))</f>
        <v>0.1</v>
      </c>
      <c r="I21" s="1">
        <f t="shared" si="4"/>
        <v>14.5</v>
      </c>
      <c r="J21" s="13"/>
    </row>
    <row r="22" spans="2:10" x14ac:dyDescent="0.3">
      <c r="B22" s="5"/>
      <c r="C22" s="8" t="s">
        <v>4</v>
      </c>
      <c r="D22" s="2">
        <v>164.9</v>
      </c>
      <c r="E22" s="37">
        <f t="shared" si="5"/>
        <v>0.13724137931034486</v>
      </c>
      <c r="F22" s="22">
        <v>8.2000000000000003E-2</v>
      </c>
      <c r="G22" s="30">
        <f t="shared" si="3"/>
        <v>13.521800000000001</v>
      </c>
      <c r="H22" s="4">
        <f>IF($A$3=1,'Model Inputs'!G$5,IF($A$3=2,'Model Inputs'!G$6,IF($A$3=3,'Model Inputs'!G$7)))</f>
        <v>0.1</v>
      </c>
      <c r="I22" s="1">
        <f t="shared" si="4"/>
        <v>16.490000000000002</v>
      </c>
      <c r="J22" s="13"/>
    </row>
    <row r="23" spans="2:10" ht="15" thickBot="1" x14ac:dyDescent="0.35">
      <c r="B23" s="5"/>
      <c r="C23" s="8" t="s">
        <v>5</v>
      </c>
      <c r="D23" s="2">
        <v>181.8</v>
      </c>
      <c r="E23" s="37">
        <f t="shared" si="5"/>
        <v>0.1024863553668891</v>
      </c>
      <c r="F23" s="22">
        <v>8.3099999999999993E-2</v>
      </c>
      <c r="G23" s="30">
        <f t="shared" si="3"/>
        <v>15.10758</v>
      </c>
      <c r="H23" s="4">
        <f>IF($A$3=1,'Model Inputs'!G$5,IF($A$3=2,'Model Inputs'!G$6,IF($A$3=3,'Model Inputs'!G$7)))</f>
        <v>0.1</v>
      </c>
      <c r="I23" s="1">
        <f t="shared" si="4"/>
        <v>18.180000000000003</v>
      </c>
      <c r="J23" s="13"/>
    </row>
    <row r="24" spans="2:10" ht="15.6" thickTop="1" thickBot="1" x14ac:dyDescent="0.35">
      <c r="B24" s="5"/>
      <c r="C24" s="8" t="s">
        <v>6</v>
      </c>
      <c r="D24" s="2">
        <v>174.6</v>
      </c>
      <c r="E24" s="37">
        <f t="shared" si="5"/>
        <v>-3.960396039603975E-2</v>
      </c>
      <c r="F24" s="22">
        <v>7.3700000000000002E-2</v>
      </c>
      <c r="G24" s="32">
        <f t="shared" si="3"/>
        <v>12.86802</v>
      </c>
      <c r="H24" s="4">
        <f>IF($A$3=1,'Model Inputs'!G$5,IF($A$3=2,'Model Inputs'!G$6,IF($A$3=3,'Model Inputs'!G$7)))</f>
        <v>0.1</v>
      </c>
      <c r="I24" s="169">
        <f t="shared" si="4"/>
        <v>17.46</v>
      </c>
      <c r="J24" s="34" t="s">
        <v>76</v>
      </c>
    </row>
    <row r="25" spans="2:10" ht="15.6" thickTop="1" thickBot="1" x14ac:dyDescent="0.35">
      <c r="C25" s="24" t="s">
        <v>18</v>
      </c>
      <c r="D25" s="43"/>
      <c r="E25" s="44"/>
      <c r="F25" s="45"/>
      <c r="G25" s="27">
        <f>SUM(G19:G24)</f>
        <v>56.526560000000003</v>
      </c>
      <c r="H25" s="42"/>
      <c r="I25" s="27">
        <f>SUM(I19:I24)</f>
        <v>90.25</v>
      </c>
      <c r="J25" s="27">
        <f>G25+I25</f>
        <v>146.77656000000002</v>
      </c>
    </row>
    <row r="26" spans="2:10" ht="15" thickTop="1" x14ac:dyDescent="0.3"/>
  </sheetData>
  <mergeCells count="2">
    <mergeCell ref="C17:I17"/>
    <mergeCell ref="C2:I2"/>
  </mergeCells>
  <phoneticPr fontId="4" type="noConversion"/>
  <conditionalFormatting sqref="C12">
    <cfRule type="containsText" dxfId="2" priority="1" operator="containsText" text="Scenario: 1">
      <formula>NOT(ISERROR(SEARCH("Scenario: 1",C12)))</formula>
    </cfRule>
    <cfRule type="containsText" dxfId="1" priority="2" operator="containsText" text="Scenario: 2">
      <formula>NOT(ISERROR(SEARCH("Scenario: 2",C12)))</formula>
    </cfRule>
    <cfRule type="containsText" dxfId="0" priority="3" operator="containsText" text="Scenario: 3">
      <formula>NOT(ISERROR(SEARCH("Scenario: 3",C12)))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0329-E103-4360-9C77-5CD3D7CCB95E}">
  <sheetPr codeName="Sheet3"/>
  <dimension ref="A1:Q66"/>
  <sheetViews>
    <sheetView showGridLines="0" topLeftCell="B1" zoomScale="66" zoomScaleNormal="85" workbookViewId="0">
      <selection activeCell="H46" sqref="H46"/>
    </sheetView>
  </sheetViews>
  <sheetFormatPr defaultRowHeight="14.4" x14ac:dyDescent="0.3"/>
  <cols>
    <col min="1" max="1" width="2.109375" style="18" hidden="1" customWidth="1"/>
    <col min="2" max="2" width="30.88671875" style="75" bestFit="1" customWidth="1"/>
    <col min="3" max="3" width="20.5546875" style="75" customWidth="1"/>
    <col min="4" max="4" width="14.44140625" style="75" customWidth="1"/>
    <col min="5" max="5" width="9.109375" style="91"/>
    <col min="6" max="6" width="26.5546875" bestFit="1" customWidth="1"/>
    <col min="7" max="7" width="29.109375" bestFit="1" customWidth="1"/>
    <col min="8" max="8" width="21.88671875" customWidth="1"/>
    <col min="9" max="9" width="19.88671875" customWidth="1"/>
    <col min="10" max="10" width="23" bestFit="1" customWidth="1"/>
    <col min="11" max="11" width="21.44140625" bestFit="1" customWidth="1"/>
    <col min="12" max="12" width="19" customWidth="1"/>
    <col min="13" max="13" width="11.44140625" style="91" customWidth="1"/>
    <col min="14" max="14" width="21.5546875" style="89" bestFit="1" customWidth="1"/>
    <col min="15" max="15" width="27.109375" style="89" bestFit="1" customWidth="1"/>
    <col min="16" max="16" width="12.5546875" style="89" customWidth="1"/>
    <col min="17" max="17" width="18.6640625" style="89" bestFit="1" customWidth="1"/>
  </cols>
  <sheetData>
    <row r="1" spans="1:16" ht="20.25" customHeight="1" thickTop="1" x14ac:dyDescent="0.3">
      <c r="B1" s="161" t="s">
        <v>45</v>
      </c>
      <c r="C1" s="161"/>
      <c r="D1" s="161"/>
      <c r="E1" s="90"/>
      <c r="F1" s="163" t="s">
        <v>74</v>
      </c>
      <c r="G1" s="164"/>
      <c r="H1" s="164"/>
      <c r="I1" s="164"/>
      <c r="J1" s="164"/>
      <c r="K1" s="164"/>
      <c r="L1" s="164"/>
      <c r="M1" s="117"/>
      <c r="N1" s="114"/>
      <c r="O1" s="114"/>
      <c r="P1" s="116"/>
    </row>
    <row r="2" spans="1:16" ht="15" thickBot="1" x14ac:dyDescent="0.35">
      <c r="B2" s="162"/>
      <c r="C2" s="162"/>
      <c r="D2" s="162"/>
      <c r="E2" s="90"/>
      <c r="F2" s="165"/>
      <c r="G2" s="166"/>
      <c r="H2" s="166"/>
      <c r="I2" s="166"/>
      <c r="J2" s="166"/>
      <c r="K2" s="166"/>
      <c r="L2" s="166"/>
      <c r="M2" s="92"/>
      <c r="N2" s="145"/>
      <c r="O2" s="145"/>
      <c r="P2" s="90"/>
    </row>
    <row r="3" spans="1:16" ht="15.6" thickTop="1" thickBot="1" x14ac:dyDescent="0.35">
      <c r="A3" s="18">
        <v>4</v>
      </c>
      <c r="B3" s="84"/>
      <c r="C3" s="84"/>
      <c r="D3" s="84"/>
      <c r="F3" s="76" t="s">
        <v>34</v>
      </c>
      <c r="G3" s="74" t="s">
        <v>56</v>
      </c>
      <c r="H3" s="74" t="s">
        <v>55</v>
      </c>
      <c r="I3" s="74" t="s">
        <v>54</v>
      </c>
      <c r="J3" s="74" t="s">
        <v>52</v>
      </c>
      <c r="K3" s="74" t="s">
        <v>53</v>
      </c>
      <c r="L3" s="74" t="s">
        <v>57</v>
      </c>
      <c r="N3" s="150" t="s">
        <v>34</v>
      </c>
      <c r="O3" s="149" t="s">
        <v>73</v>
      </c>
      <c r="P3" s="91"/>
    </row>
    <row r="4" spans="1:16" x14ac:dyDescent="0.3">
      <c r="A4" s="18">
        <v>4</v>
      </c>
      <c r="B4" s="142" t="s">
        <v>34</v>
      </c>
      <c r="C4" s="84"/>
      <c r="D4" s="85"/>
      <c r="F4" s="155" t="s">
        <v>58</v>
      </c>
      <c r="G4" s="72">
        <f>G5/2</f>
        <v>6250</v>
      </c>
      <c r="H4" s="96">
        <f>G4*$C$12</f>
        <v>937.5</v>
      </c>
      <c r="I4" s="96">
        <f>G4*($C$13/12)</f>
        <v>7812.5</v>
      </c>
      <c r="J4" s="96">
        <f>G4*($C$13/12)*$O$7</f>
        <v>878.90625</v>
      </c>
      <c r="K4" s="73">
        <f>H4+J4</f>
        <v>1816.40625</v>
      </c>
      <c r="L4" s="81">
        <f t="shared" ref="L4:L10" si="0">G4*(1-$C$12)</f>
        <v>5312.5</v>
      </c>
      <c r="N4" s="146" t="s">
        <v>37</v>
      </c>
      <c r="O4" s="147">
        <v>6.7500000000000004E-2</v>
      </c>
      <c r="P4" s="91"/>
    </row>
    <row r="5" spans="1:16" x14ac:dyDescent="0.3">
      <c r="B5" s="84"/>
      <c r="C5" s="84"/>
      <c r="D5" s="84"/>
      <c r="F5" s="155" t="s">
        <v>59</v>
      </c>
      <c r="G5" s="68">
        <f>G6/2</f>
        <v>12500</v>
      </c>
      <c r="H5" s="97">
        <f t="shared" ref="H5:H10" si="1">G5*$C$12</f>
        <v>1875</v>
      </c>
      <c r="I5" s="97">
        <f t="shared" ref="I5:I9" si="2">G5*($C$13/12)</f>
        <v>15625</v>
      </c>
      <c r="J5" s="96">
        <f>G5*($C$13/12)*O6</f>
        <v>1484.375</v>
      </c>
      <c r="K5" s="69">
        <f t="shared" ref="K5:K10" si="3">H5+J5</f>
        <v>3359.375</v>
      </c>
      <c r="L5" s="82">
        <f t="shared" si="0"/>
        <v>10625</v>
      </c>
      <c r="N5" s="146" t="s">
        <v>38</v>
      </c>
      <c r="O5" s="147">
        <v>8.2500000000000004E-2</v>
      </c>
      <c r="P5" s="91"/>
    </row>
    <row r="6" spans="1:16" x14ac:dyDescent="0.3">
      <c r="A6" s="18">
        <v>2</v>
      </c>
      <c r="B6" s="142" t="s">
        <v>44</v>
      </c>
      <c r="C6" s="84"/>
      <c r="D6" s="84"/>
      <c r="F6" s="155" t="s">
        <v>60</v>
      </c>
      <c r="G6" s="68">
        <f>G7/2</f>
        <v>25000</v>
      </c>
      <c r="H6" s="97">
        <f>G6*$C$12</f>
        <v>3750</v>
      </c>
      <c r="I6" s="97">
        <f t="shared" si="2"/>
        <v>31250</v>
      </c>
      <c r="J6" s="96">
        <f>G6*($C$13/12)*O6</f>
        <v>2968.75</v>
      </c>
      <c r="K6" s="69">
        <f t="shared" si="3"/>
        <v>6718.75</v>
      </c>
      <c r="L6" s="82">
        <f t="shared" si="0"/>
        <v>21250</v>
      </c>
      <c r="N6" s="146" t="s">
        <v>36</v>
      </c>
      <c r="O6" s="147">
        <v>9.5000000000000001E-2</v>
      </c>
      <c r="P6" s="91"/>
    </row>
    <row r="7" spans="1:16" x14ac:dyDescent="0.3">
      <c r="B7" s="84"/>
      <c r="C7" s="84"/>
      <c r="D7" s="84"/>
      <c r="F7" s="155" t="s">
        <v>61</v>
      </c>
      <c r="G7" s="70">
        <v>50000</v>
      </c>
      <c r="H7" s="98">
        <f t="shared" si="1"/>
        <v>7500</v>
      </c>
      <c r="I7" s="98">
        <f t="shared" si="2"/>
        <v>62500</v>
      </c>
      <c r="J7" s="101">
        <f>G7*($C$13/12)*O6</f>
        <v>5937.5</v>
      </c>
      <c r="K7" s="71">
        <f>H7+J7</f>
        <v>13437.5</v>
      </c>
      <c r="L7" s="102">
        <f t="shared" si="0"/>
        <v>42500</v>
      </c>
      <c r="N7" s="146" t="s">
        <v>39</v>
      </c>
      <c r="O7" s="147">
        <v>0.1125</v>
      </c>
      <c r="P7" s="91"/>
    </row>
    <row r="8" spans="1:16" ht="15" thickBot="1" x14ac:dyDescent="0.35">
      <c r="B8" s="84"/>
      <c r="C8" s="84"/>
      <c r="D8" s="84"/>
      <c r="F8" s="155" t="s">
        <v>62</v>
      </c>
      <c r="G8" s="68">
        <f>G7*1.5</f>
        <v>75000</v>
      </c>
      <c r="H8" s="97">
        <f t="shared" si="1"/>
        <v>11250</v>
      </c>
      <c r="I8" s="97">
        <f t="shared" si="2"/>
        <v>93750</v>
      </c>
      <c r="J8" s="96">
        <f>G8*($C$13/12)*O5</f>
        <v>7734.375</v>
      </c>
      <c r="K8" s="69">
        <f t="shared" si="3"/>
        <v>18984.375</v>
      </c>
      <c r="L8" s="82">
        <f t="shared" si="0"/>
        <v>63750</v>
      </c>
      <c r="P8" s="91"/>
    </row>
    <row r="9" spans="1:16" ht="15" thickTop="1" x14ac:dyDescent="0.3">
      <c r="B9" s="133" t="s">
        <v>30</v>
      </c>
      <c r="C9" s="134" t="s">
        <v>43</v>
      </c>
      <c r="D9" s="84"/>
      <c r="F9" s="155" t="s">
        <v>64</v>
      </c>
      <c r="G9" s="68">
        <f t="shared" ref="G9:G10" si="4">G8*1.5</f>
        <v>112500</v>
      </c>
      <c r="H9" s="97">
        <f t="shared" si="1"/>
        <v>16875</v>
      </c>
      <c r="I9" s="97">
        <f t="shared" si="2"/>
        <v>140625</v>
      </c>
      <c r="J9" s="96">
        <f>G9*($C$13/12)*O4</f>
        <v>9492.1875</v>
      </c>
      <c r="K9" s="69">
        <f t="shared" si="3"/>
        <v>26367.1875</v>
      </c>
      <c r="L9" s="82">
        <f t="shared" si="0"/>
        <v>95625</v>
      </c>
      <c r="M9" s="92"/>
      <c r="N9" s="118"/>
      <c r="O9" s="118"/>
      <c r="P9" s="90"/>
    </row>
    <row r="10" spans="1:16" ht="15" thickBot="1" x14ac:dyDescent="0.35">
      <c r="B10" s="133" t="s">
        <v>31</v>
      </c>
      <c r="C10" s="135">
        <v>50000</v>
      </c>
      <c r="D10" s="84"/>
      <c r="F10" s="156" t="s">
        <v>63</v>
      </c>
      <c r="G10" s="79">
        <f t="shared" si="4"/>
        <v>168750</v>
      </c>
      <c r="H10" s="99">
        <f t="shared" si="1"/>
        <v>25312.5</v>
      </c>
      <c r="I10" s="100">
        <f>G10*($C$13/12)</f>
        <v>210937.5</v>
      </c>
      <c r="J10" s="96">
        <f>G10*($C$13/12)*O4</f>
        <v>14238.281250000002</v>
      </c>
      <c r="K10" s="80">
        <f t="shared" si="3"/>
        <v>39550.78125</v>
      </c>
      <c r="L10" s="83">
        <f t="shared" si="0"/>
        <v>143437.5</v>
      </c>
      <c r="M10" s="92"/>
      <c r="N10" s="145"/>
      <c r="O10" s="145"/>
      <c r="P10" s="90"/>
    </row>
    <row r="11" spans="1:16" ht="15.6" thickTop="1" thickBot="1" x14ac:dyDescent="0.35">
      <c r="B11" s="133" t="s">
        <v>51</v>
      </c>
      <c r="C11" s="136">
        <v>40000</v>
      </c>
      <c r="D11" s="84"/>
      <c r="I11" s="77"/>
      <c r="J11" s="78"/>
      <c r="K11" s="78"/>
      <c r="L11" s="78"/>
      <c r="N11" s="148" t="s">
        <v>70</v>
      </c>
      <c r="O11" s="119" t="s">
        <v>7</v>
      </c>
      <c r="P11" s="91"/>
    </row>
    <row r="12" spans="1:16" ht="15" thickTop="1" x14ac:dyDescent="0.3">
      <c r="B12" s="133" t="s">
        <v>32</v>
      </c>
      <c r="C12" s="137">
        <f>CHOOSE(A6,'Model Inputs'!F12,'Model Inputs'!F13,'Model Inputs'!F14,)</f>
        <v>0.15</v>
      </c>
      <c r="D12" s="84"/>
      <c r="I12" s="12"/>
      <c r="N12" s="103">
        <v>2020</v>
      </c>
      <c r="O12" s="143">
        <v>3.5400000000000001E-2</v>
      </c>
      <c r="P12" s="91"/>
    </row>
    <row r="13" spans="1:16" x14ac:dyDescent="0.3">
      <c r="B13" s="133" t="s">
        <v>33</v>
      </c>
      <c r="C13" s="138">
        <f>IF(C11="",'Model Inputs'!C4,(C10/C11)*12)</f>
        <v>15</v>
      </c>
      <c r="D13" s="84"/>
      <c r="I13" s="12"/>
      <c r="N13" s="104">
        <v>2021</v>
      </c>
      <c r="O13" s="110">
        <v>3.2500000000000001E-2</v>
      </c>
      <c r="P13" s="91"/>
    </row>
    <row r="14" spans="1:16" x14ac:dyDescent="0.3">
      <c r="B14" s="133" t="s">
        <v>75</v>
      </c>
      <c r="C14" s="139">
        <f>CHOOSE(A4,O21,O22,O23,O24) + CHOOSE(A15,O12,O13,O14,O15,O16,O17)</f>
        <v>8.0399999999999999E-2</v>
      </c>
      <c r="D14" s="84"/>
      <c r="I14" s="12"/>
      <c r="N14" s="104">
        <v>2022</v>
      </c>
      <c r="O14" s="110">
        <v>4.8599999999999997E-2</v>
      </c>
      <c r="P14" s="91"/>
    </row>
    <row r="15" spans="1:16" x14ac:dyDescent="0.3">
      <c r="A15" s="18">
        <f>C15-2019</f>
        <v>1</v>
      </c>
      <c r="B15" s="133" t="s">
        <v>71</v>
      </c>
      <c r="C15" s="133">
        <v>2020</v>
      </c>
      <c r="D15" s="84"/>
      <c r="I15" s="12"/>
      <c r="N15" s="104">
        <v>2023</v>
      </c>
      <c r="O15" s="110">
        <v>8.2000000000000003E-2</v>
      </c>
      <c r="P15" s="91"/>
    </row>
    <row r="16" spans="1:16" x14ac:dyDescent="0.3">
      <c r="B16" s="133" t="s">
        <v>72</v>
      </c>
      <c r="C16" s="140">
        <v>0.2</v>
      </c>
      <c r="D16" s="84"/>
      <c r="I16" s="12"/>
      <c r="N16" s="104">
        <v>2024</v>
      </c>
      <c r="O16" s="110">
        <v>8.3099999999999993E-2</v>
      </c>
      <c r="P16" s="91"/>
    </row>
    <row r="17" spans="2:16" ht="15" thickBot="1" x14ac:dyDescent="0.35">
      <c r="B17" s="84"/>
      <c r="C17" s="84"/>
      <c r="D17" s="84"/>
      <c r="I17" s="12"/>
      <c r="N17" s="106">
        <v>2025</v>
      </c>
      <c r="O17" s="144">
        <v>7.3700000000000002E-2</v>
      </c>
      <c r="P17" s="91"/>
    </row>
    <row r="18" spans="2:16" ht="21" thickTop="1" thickBot="1" x14ac:dyDescent="0.45">
      <c r="B18" s="159" t="s">
        <v>46</v>
      </c>
      <c r="C18" s="160"/>
      <c r="D18" s="160"/>
      <c r="E18" s="90"/>
      <c r="I18" s="12"/>
      <c r="M18" s="92"/>
      <c r="N18" s="118"/>
      <c r="O18" s="118"/>
      <c r="P18" s="90"/>
    </row>
    <row r="19" spans="2:16" ht="15.6" thickTop="1" thickBot="1" x14ac:dyDescent="0.35">
      <c r="B19" s="84"/>
      <c r="C19" s="84"/>
      <c r="D19" s="84"/>
      <c r="I19" s="12"/>
      <c r="M19" s="92"/>
      <c r="N19" s="145"/>
      <c r="O19" s="145"/>
      <c r="P19" s="90"/>
    </row>
    <row r="20" spans="2:16" ht="15.6" thickTop="1" thickBot="1" x14ac:dyDescent="0.35">
      <c r="B20" s="84"/>
      <c r="C20" s="84"/>
      <c r="D20" s="84"/>
      <c r="I20" s="12"/>
      <c r="N20" s="150" t="s">
        <v>34</v>
      </c>
      <c r="O20" s="149" t="s">
        <v>35</v>
      </c>
      <c r="P20" s="91"/>
    </row>
    <row r="21" spans="2:16" ht="15" thickTop="1" x14ac:dyDescent="0.3">
      <c r="B21" s="133" t="s">
        <v>21</v>
      </c>
      <c r="C21" s="141">
        <f>C10*C12</f>
        <v>7500</v>
      </c>
      <c r="D21" s="84"/>
      <c r="I21" s="12"/>
      <c r="N21" s="151" t="s">
        <v>37</v>
      </c>
      <c r="O21" s="154">
        <v>0</v>
      </c>
      <c r="P21" s="91"/>
    </row>
    <row r="22" spans="2:16" x14ac:dyDescent="0.3">
      <c r="B22" s="133" t="s">
        <v>47</v>
      </c>
      <c r="C22" s="141">
        <f>C10*(C13/12)</f>
        <v>62500</v>
      </c>
      <c r="D22" s="84"/>
      <c r="I22" s="12"/>
      <c r="N22" s="152" t="s">
        <v>38</v>
      </c>
      <c r="O22" s="105">
        <v>1.4999999999999999E-2</v>
      </c>
      <c r="P22" s="91"/>
    </row>
    <row r="23" spans="2:16" x14ac:dyDescent="0.3">
      <c r="B23" s="133" t="s">
        <v>49</v>
      </c>
      <c r="C23" s="141">
        <f>C10*C14</f>
        <v>4020</v>
      </c>
      <c r="D23" s="84"/>
      <c r="I23" s="12"/>
      <c r="N23" s="152" t="s">
        <v>36</v>
      </c>
      <c r="O23" s="105">
        <v>2.75E-2</v>
      </c>
      <c r="P23" s="91"/>
    </row>
    <row r="24" spans="2:16" ht="15" thickBot="1" x14ac:dyDescent="0.35">
      <c r="B24" s="133" t="s">
        <v>48</v>
      </c>
      <c r="C24" s="141">
        <f>C21+C23</f>
        <v>11520</v>
      </c>
      <c r="D24" s="84"/>
      <c r="I24" s="12"/>
      <c r="N24" s="153" t="s">
        <v>39</v>
      </c>
      <c r="O24" s="107">
        <v>4.4999999999999998E-2</v>
      </c>
      <c r="P24" s="91"/>
    </row>
    <row r="25" spans="2:16" ht="15.6" thickTop="1" thickBot="1" x14ac:dyDescent="0.35">
      <c r="B25" s="86"/>
      <c r="C25" s="86"/>
      <c r="D25" s="87"/>
      <c r="I25" s="12"/>
      <c r="M25" s="92"/>
      <c r="N25" s="118"/>
      <c r="O25" s="118"/>
      <c r="P25" s="90"/>
    </row>
    <row r="26" spans="2:16" ht="15" thickTop="1" x14ac:dyDescent="0.3">
      <c r="B26" s="113"/>
      <c r="C26" s="113"/>
      <c r="D26" s="113"/>
      <c r="E26" s="90"/>
      <c r="I26" s="12"/>
      <c r="M26" s="92"/>
      <c r="N26" s="114"/>
      <c r="O26" s="114"/>
      <c r="P26" s="90"/>
    </row>
    <row r="27" spans="2:16" ht="15" thickBot="1" x14ac:dyDescent="0.35">
      <c r="B27" s="113"/>
      <c r="C27" s="113"/>
      <c r="D27" s="113"/>
      <c r="E27" s="90"/>
      <c r="I27" s="12"/>
      <c r="M27" s="92"/>
      <c r="N27" s="145"/>
      <c r="O27" s="145"/>
      <c r="P27" s="115"/>
    </row>
    <row r="28" spans="2:16" ht="15" thickTop="1" x14ac:dyDescent="0.3">
      <c r="B28" s="111"/>
      <c r="C28" s="111"/>
      <c r="D28" s="112"/>
      <c r="E28" s="90"/>
      <c r="F28" s="93"/>
      <c r="G28" s="94"/>
      <c r="H28" s="95"/>
      <c r="I28" s="93"/>
      <c r="J28" s="94"/>
      <c r="K28" s="94"/>
      <c r="L28" s="94"/>
    </row>
    <row r="29" spans="2:16" ht="15" thickBot="1" x14ac:dyDescent="0.35">
      <c r="B29" s="84"/>
      <c r="C29" s="84"/>
      <c r="D29" s="84"/>
      <c r="F29" s="89"/>
      <c r="G29" s="89"/>
      <c r="H29" s="89"/>
      <c r="I29" s="88"/>
      <c r="J29" s="89"/>
      <c r="K29" s="89"/>
      <c r="L29" s="89"/>
    </row>
    <row r="30" spans="2:16" ht="15.6" thickTop="1" thickBot="1" x14ac:dyDescent="0.35">
      <c r="B30" s="84"/>
      <c r="C30" s="84"/>
      <c r="D30" s="84"/>
      <c r="F30" s="89"/>
      <c r="G30" s="157" t="s">
        <v>65</v>
      </c>
      <c r="H30" s="127" t="s">
        <v>68</v>
      </c>
      <c r="I30" s="128" t="s">
        <v>66</v>
      </c>
      <c r="J30" s="128" t="s">
        <v>67</v>
      </c>
      <c r="K30" s="129" t="s">
        <v>69</v>
      </c>
      <c r="L30" s="89"/>
    </row>
    <row r="31" spans="2:16" ht="15" thickTop="1" x14ac:dyDescent="0.3">
      <c r="B31" s="84"/>
      <c r="C31" s="84"/>
      <c r="D31" s="84"/>
      <c r="F31" s="89"/>
      <c r="G31" s="130">
        <v>10000</v>
      </c>
      <c r="H31" s="120">
        <f>G31*$C$14</f>
        <v>804</v>
      </c>
      <c r="I31" s="121">
        <f>G31*$C$16</f>
        <v>2000</v>
      </c>
      <c r="J31" s="122">
        <f>H31+K31-I31</f>
        <v>304</v>
      </c>
      <c r="K31" s="123">
        <f>G31*$C$12</f>
        <v>1500</v>
      </c>
      <c r="L31" s="89"/>
    </row>
    <row r="32" spans="2:16" ht="15" thickBot="1" x14ac:dyDescent="0.35">
      <c r="B32" s="84"/>
      <c r="C32" s="84"/>
      <c r="D32" s="84"/>
      <c r="F32" s="89"/>
      <c r="G32" s="131">
        <v>25000</v>
      </c>
      <c r="H32" s="120">
        <f t="shared" ref="H32:H37" si="5">G32*$C$14</f>
        <v>2010</v>
      </c>
      <c r="I32" s="121">
        <f t="shared" ref="I32:I37" si="6">G32*$C$16</f>
        <v>5000</v>
      </c>
      <c r="J32" s="122">
        <f t="shared" ref="J32:J36" si="7">H32+K32-I32</f>
        <v>760</v>
      </c>
      <c r="K32" s="123">
        <f t="shared" ref="K32:K37" si="8">G32*$C$12</f>
        <v>3750</v>
      </c>
      <c r="L32" s="89"/>
    </row>
    <row r="33" spans="2:13" ht="15" thickTop="1" x14ac:dyDescent="0.3">
      <c r="B33" s="84"/>
      <c r="C33" s="84"/>
      <c r="D33" s="84"/>
      <c r="E33" s="92"/>
      <c r="F33" s="118"/>
      <c r="G33" s="158">
        <v>50000</v>
      </c>
      <c r="H33" s="120">
        <f t="shared" si="5"/>
        <v>4020</v>
      </c>
      <c r="I33" s="121">
        <f t="shared" si="6"/>
        <v>10000</v>
      </c>
      <c r="J33" s="122">
        <f t="shared" si="7"/>
        <v>1520</v>
      </c>
      <c r="K33" s="122">
        <f t="shared" si="8"/>
        <v>7500</v>
      </c>
      <c r="L33" s="118"/>
      <c r="M33" s="90"/>
    </row>
    <row r="34" spans="2:13" ht="15" thickBot="1" x14ac:dyDescent="0.35">
      <c r="B34" s="84"/>
      <c r="C34" s="84"/>
      <c r="D34" s="84"/>
      <c r="E34" s="92"/>
      <c r="F34" s="145"/>
      <c r="G34" s="158">
        <v>100000</v>
      </c>
      <c r="H34" s="120">
        <f>G34*$C$14</f>
        <v>8040</v>
      </c>
      <c r="I34" s="121">
        <f t="shared" si="6"/>
        <v>20000</v>
      </c>
      <c r="J34" s="122">
        <f t="shared" si="7"/>
        <v>3040</v>
      </c>
      <c r="K34" s="122">
        <f t="shared" si="8"/>
        <v>15000</v>
      </c>
      <c r="L34" s="145"/>
      <c r="M34" s="90"/>
    </row>
    <row r="35" spans="2:13" ht="15" thickTop="1" x14ac:dyDescent="0.3">
      <c r="B35" s="84"/>
      <c r="C35" s="84"/>
      <c r="D35" s="84"/>
      <c r="F35" s="89"/>
      <c r="G35" s="131">
        <v>250000</v>
      </c>
      <c r="H35" s="120">
        <f t="shared" si="5"/>
        <v>20100</v>
      </c>
      <c r="I35" s="121">
        <f t="shared" si="6"/>
        <v>50000</v>
      </c>
      <c r="J35" s="122">
        <f t="shared" si="7"/>
        <v>7600</v>
      </c>
      <c r="K35" s="123">
        <f t="shared" si="8"/>
        <v>37500</v>
      </c>
      <c r="L35" s="89"/>
    </row>
    <row r="36" spans="2:13" x14ac:dyDescent="0.3">
      <c r="B36" s="84"/>
      <c r="C36" s="84"/>
      <c r="D36" s="84"/>
      <c r="F36" s="89"/>
      <c r="G36" s="131">
        <v>500000</v>
      </c>
      <c r="H36" s="120">
        <f t="shared" si="5"/>
        <v>40200</v>
      </c>
      <c r="I36" s="121">
        <f t="shared" si="6"/>
        <v>100000</v>
      </c>
      <c r="J36" s="122">
        <f t="shared" si="7"/>
        <v>15200</v>
      </c>
      <c r="K36" s="123">
        <f t="shared" si="8"/>
        <v>75000</v>
      </c>
      <c r="L36" s="89"/>
    </row>
    <row r="37" spans="2:13" ht="15" thickBot="1" x14ac:dyDescent="0.35">
      <c r="B37" s="84"/>
      <c r="C37" s="84"/>
      <c r="D37" s="84"/>
      <c r="F37" s="88"/>
      <c r="G37" s="132">
        <v>1000000</v>
      </c>
      <c r="H37" s="124">
        <f t="shared" si="5"/>
        <v>80400</v>
      </c>
      <c r="I37" s="125">
        <f t="shared" si="6"/>
        <v>200000</v>
      </c>
      <c r="J37" s="126">
        <f>H37+K37-I37</f>
        <v>30400</v>
      </c>
      <c r="K37" s="126">
        <f t="shared" si="8"/>
        <v>150000</v>
      </c>
      <c r="L37" s="109"/>
    </row>
    <row r="38" spans="2:13" ht="15" thickTop="1" x14ac:dyDescent="0.3">
      <c r="B38" s="84"/>
      <c r="C38" s="84"/>
      <c r="D38" s="84"/>
      <c r="F38" s="89"/>
      <c r="G38" s="89"/>
      <c r="H38" s="89"/>
      <c r="I38" s="89"/>
      <c r="J38" s="89"/>
      <c r="K38" s="89"/>
      <c r="L38" s="89"/>
    </row>
    <row r="39" spans="2:13" ht="15" thickBot="1" x14ac:dyDescent="0.35">
      <c r="B39" s="84"/>
      <c r="C39" s="84"/>
      <c r="D39" s="84"/>
      <c r="F39" s="89"/>
      <c r="G39" s="89"/>
      <c r="H39" s="89"/>
      <c r="I39" s="89"/>
      <c r="J39" s="89"/>
      <c r="K39" s="89"/>
      <c r="L39" s="89"/>
    </row>
    <row r="40" spans="2:13" ht="15.6" thickTop="1" thickBot="1" x14ac:dyDescent="0.35">
      <c r="B40" s="84"/>
      <c r="C40" s="84"/>
      <c r="D40" s="84"/>
      <c r="E40" s="92"/>
      <c r="F40" s="108"/>
      <c r="G40" s="108"/>
      <c r="H40" s="108"/>
      <c r="I40" s="108"/>
      <c r="J40" s="108"/>
      <c r="K40" s="108"/>
      <c r="L40" s="108"/>
      <c r="M40" s="90"/>
    </row>
    <row r="41" spans="2:13" ht="15" thickTop="1" x14ac:dyDescent="0.3">
      <c r="B41" s="84"/>
      <c r="C41" s="84"/>
      <c r="D41" s="84"/>
      <c r="F41" s="84"/>
      <c r="G41" s="84"/>
      <c r="H41" s="84"/>
      <c r="I41" s="84"/>
      <c r="J41" s="84"/>
      <c r="K41" s="84"/>
      <c r="L41" s="84"/>
    </row>
    <row r="42" spans="2:13" x14ac:dyDescent="0.3">
      <c r="B42" s="84"/>
      <c r="C42" s="84"/>
      <c r="D42" s="84"/>
      <c r="F42" s="84"/>
      <c r="G42" s="84"/>
      <c r="H42" s="84"/>
      <c r="I42" s="84"/>
      <c r="J42" s="84"/>
      <c r="K42" s="84"/>
      <c r="L42" s="84"/>
    </row>
    <row r="43" spans="2:13" x14ac:dyDescent="0.3">
      <c r="B43" s="84"/>
      <c r="C43" s="84"/>
      <c r="D43" s="84"/>
      <c r="F43" s="84"/>
      <c r="G43" s="84"/>
      <c r="H43" s="84"/>
      <c r="I43" s="84"/>
      <c r="J43" s="84"/>
      <c r="K43" s="84"/>
      <c r="L43" s="84"/>
    </row>
    <row r="44" spans="2:13" x14ac:dyDescent="0.3">
      <c r="B44" s="84"/>
      <c r="C44" s="84"/>
      <c r="D44" s="84"/>
      <c r="F44" s="84"/>
      <c r="G44" s="84"/>
      <c r="H44" s="84"/>
      <c r="I44" s="84"/>
      <c r="J44" s="84"/>
      <c r="K44" s="84"/>
      <c r="L44" s="84"/>
    </row>
    <row r="45" spans="2:13" x14ac:dyDescent="0.3">
      <c r="B45" s="84"/>
      <c r="C45" s="84"/>
      <c r="D45" s="84"/>
      <c r="F45" s="84"/>
      <c r="G45" s="84"/>
      <c r="H45" s="84"/>
      <c r="I45" s="84"/>
      <c r="J45" s="84"/>
      <c r="K45" s="84"/>
      <c r="L45" s="84"/>
    </row>
    <row r="46" spans="2:13" x14ac:dyDescent="0.3">
      <c r="B46" s="84"/>
      <c r="C46" s="84"/>
      <c r="D46" s="84"/>
      <c r="F46" s="84"/>
      <c r="G46" s="84"/>
      <c r="H46" s="84"/>
      <c r="I46" s="84"/>
      <c r="J46" s="84"/>
      <c r="K46" s="84"/>
      <c r="L46" s="84"/>
    </row>
    <row r="47" spans="2:13" x14ac:dyDescent="0.3">
      <c r="B47" s="84"/>
      <c r="C47" s="84"/>
      <c r="D47" s="84"/>
      <c r="F47" s="84"/>
      <c r="G47" s="84"/>
      <c r="H47" s="84"/>
      <c r="I47" s="84"/>
      <c r="J47" s="84"/>
      <c r="K47" s="84"/>
      <c r="L47" s="84"/>
    </row>
    <row r="48" spans="2:13" x14ac:dyDescent="0.3">
      <c r="B48" s="84"/>
      <c r="C48" s="84"/>
      <c r="D48" s="84"/>
      <c r="F48" s="84"/>
      <c r="G48" s="84"/>
      <c r="H48" s="84"/>
      <c r="I48" s="84"/>
      <c r="J48" s="84"/>
      <c r="K48" s="84"/>
      <c r="L48" s="84"/>
    </row>
    <row r="49" spans="2:12" x14ac:dyDescent="0.3">
      <c r="B49" s="84"/>
      <c r="C49" s="84"/>
      <c r="D49" s="84"/>
      <c r="F49" s="84"/>
      <c r="G49" s="84"/>
      <c r="H49" s="84"/>
      <c r="I49" s="84"/>
      <c r="J49" s="84"/>
      <c r="K49" s="84"/>
      <c r="L49" s="84"/>
    </row>
    <row r="50" spans="2:12" x14ac:dyDescent="0.3">
      <c r="B50" s="84"/>
      <c r="C50" s="84"/>
      <c r="D50" s="84"/>
      <c r="F50" s="84"/>
      <c r="G50" s="84"/>
      <c r="H50" s="84"/>
      <c r="I50" s="84"/>
      <c r="J50" s="84"/>
      <c r="K50" s="84"/>
      <c r="L50" s="84"/>
    </row>
    <row r="51" spans="2:12" x14ac:dyDescent="0.3">
      <c r="B51" s="84"/>
      <c r="C51" s="84"/>
      <c r="D51" s="84"/>
      <c r="F51" s="84"/>
      <c r="G51" s="84"/>
      <c r="H51" s="84"/>
      <c r="I51" s="84"/>
      <c r="J51" s="84"/>
      <c r="K51" s="84"/>
      <c r="L51" s="84"/>
    </row>
    <row r="52" spans="2:12" x14ac:dyDescent="0.3">
      <c r="B52" s="84"/>
      <c r="C52" s="84"/>
      <c r="D52" s="84"/>
    </row>
    <row r="53" spans="2:12" x14ac:dyDescent="0.3">
      <c r="B53" s="84"/>
      <c r="C53" s="84"/>
      <c r="D53" s="84"/>
    </row>
    <row r="54" spans="2:12" x14ac:dyDescent="0.3">
      <c r="B54" s="84"/>
      <c r="C54" s="84"/>
      <c r="D54" s="84"/>
    </row>
    <row r="55" spans="2:12" x14ac:dyDescent="0.3">
      <c r="B55" s="84"/>
      <c r="C55" s="84"/>
      <c r="D55" s="84"/>
    </row>
    <row r="56" spans="2:12" x14ac:dyDescent="0.3">
      <c r="B56" s="84"/>
      <c r="C56" s="84"/>
      <c r="D56" s="84"/>
    </row>
    <row r="57" spans="2:12" x14ac:dyDescent="0.3">
      <c r="B57" s="84"/>
      <c r="C57" s="84"/>
      <c r="D57" s="84"/>
    </row>
    <row r="58" spans="2:12" x14ac:dyDescent="0.3">
      <c r="B58" s="84"/>
      <c r="C58" s="84"/>
      <c r="D58" s="84"/>
    </row>
    <row r="59" spans="2:12" x14ac:dyDescent="0.3">
      <c r="B59" s="84"/>
      <c r="C59" s="84"/>
      <c r="D59" s="84"/>
    </row>
    <row r="60" spans="2:12" x14ac:dyDescent="0.3">
      <c r="B60" s="84"/>
      <c r="C60" s="84"/>
      <c r="D60" s="84"/>
    </row>
    <row r="61" spans="2:12" x14ac:dyDescent="0.3">
      <c r="B61" s="84"/>
      <c r="C61" s="84"/>
      <c r="D61" s="84"/>
    </row>
    <row r="62" spans="2:12" x14ac:dyDescent="0.3">
      <c r="B62" s="84"/>
      <c r="C62" s="84"/>
      <c r="D62" s="84"/>
    </row>
    <row r="63" spans="2:12" x14ac:dyDescent="0.3">
      <c r="B63" s="84"/>
      <c r="C63" s="84"/>
      <c r="D63" s="84"/>
    </row>
    <row r="64" spans="2:12" x14ac:dyDescent="0.3">
      <c r="B64" s="84"/>
      <c r="C64" s="84"/>
      <c r="D64" s="84"/>
    </row>
    <row r="65" spans="2:4" x14ac:dyDescent="0.3">
      <c r="B65" s="84"/>
      <c r="C65" s="84"/>
      <c r="D65" s="84"/>
    </row>
    <row r="66" spans="2:4" x14ac:dyDescent="0.3">
      <c r="B66" s="84"/>
      <c r="C66" s="84"/>
      <c r="D66" s="84"/>
    </row>
  </sheetData>
  <mergeCells count="3">
    <mergeCell ref="B18:D18"/>
    <mergeCell ref="B1:D2"/>
    <mergeCell ref="F1:L2"/>
  </mergeCells>
  <dataValidations count="1">
    <dataValidation type="list" allowBlank="1" showInputMessage="1" showErrorMessage="1" sqref="C15" xr:uid="{8F32A6A2-8806-4857-9781-1558D8E0F747}">
      <formula1>$N$12:$N$17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 macro="[0]!DropDown1_Change">
                <anchor moveWithCells="1">
                  <from>
                    <xdr:col>2</xdr:col>
                    <xdr:colOff>304800</xdr:colOff>
                    <xdr:row>3</xdr:row>
                    <xdr:rowOff>38100</xdr:rowOff>
                  </from>
                  <to>
                    <xdr:col>3</xdr:col>
                    <xdr:colOff>723900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2</xdr:col>
                    <xdr:colOff>297180</xdr:colOff>
                    <xdr:row>5</xdr:row>
                    <xdr:rowOff>60960</xdr:rowOff>
                  </from>
                  <to>
                    <xdr:col>3</xdr:col>
                    <xdr:colOff>723900</xdr:colOff>
                    <xdr:row>6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Inputs</vt:lpstr>
      <vt:lpstr>Revenue Recognition</vt:lpstr>
      <vt:lpstr>Business Model</vt:lpstr>
    </vt:vector>
  </TitlesOfParts>
  <Company>GE Appliances, a Haier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Ernst, Ethan  (GE Appliances, Haier)</dc:creator>
  <cp:lastModifiedBy>Ethan Ernst</cp:lastModifiedBy>
  <dcterms:created xsi:type="dcterms:W3CDTF">2026-05-29T14:01:29Z</dcterms:created>
  <dcterms:modified xsi:type="dcterms:W3CDTF">2026-06-02T21:58:04Z</dcterms:modified>
</cp:coreProperties>
</file>